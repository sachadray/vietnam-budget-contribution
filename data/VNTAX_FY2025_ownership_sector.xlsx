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rm level" sheetId="2" state="visible" r:id="rId4"/>
    <sheet name="By ownership" sheetId="3" state="visible" r:id="rId5"/>
    <sheet name="By sector" sheetId="4" state="visible" r:id="rId6"/>
    <sheet name="Top 25 firms" sheetId="5" state="visible" r:id="rId7"/>
    <sheet name="Tax mix" sheetId="6" state="visible" r:id="rId8"/>
    <sheet name="STATE 100 firms" sheetId="7" state="visible" r:id="rId9"/>
    <sheet name="STATE 100 groups" sheetId="8" state="visible" r:id="rId10"/>
    <sheet name="Year on year" sheetId="9" state="visible" r:id="rId11"/>
  </sheets>
  <definedNames>
    <definedName function="false" hidden="true" localSheetId="1" name="_xlnm._FilterDatabase" vbProcedure="false">'Firm level'!$A$1:$O$201</definedName>
    <definedName function="false" hidden="true" localSheetId="6" name="_xlnm._FilterDatabase" vbProcedure="false">'STATE 100 firms'!$A$4:$P$104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<sst xmlns="http://schemas.openxmlformats.org/spreadsheetml/2006/main" count="2357" uniqueCount="911">
  <si>
    <t xml:space="preserve">Vietnam: who contributes to the state budget, financial year 2025</t>
  </si>
  <si>
    <t xml:space="preserve">Reading the list years</t>
  </si>
  <si>
    <t xml:space="preserve">CafeF labels a list by its PUBLICATION year, not the year of the payments.</t>
  </si>
  <si>
    <t xml:space="preserve">The lists published in 2026 measure amounts actually remitted in financial year 2025.</t>
  </si>
  <si>
    <t xml:space="preserve">This workbook uses those 2026-published lists throughout. A list labelled 2025 would be FY2024.</t>
  </si>
  <si>
    <t xml:space="preserve">Cross-check: PetroVietnam is VND 90,991 bn in both the 2026 VNTAX 200 and the STATE 100.</t>
  </si>
  <si>
    <t xml:space="preserve">Sources</t>
  </si>
  <si>
    <t xml:space="preserve">VNTAX 200: https://cafef.vn/du-lieu/vntax200/2026/top-200-doanh-nghiep.chn</t>
  </si>
  <si>
    <t xml:space="preserve">STATE 100: https://cafef.vn/du-lieu/state100/doanh-nghiep.chn</t>
  </si>
  <si>
    <t xml:space="preserve">PRIVATE 100: https://cafef.vn/du-lieu/private100/2026/top-100-doanh-nghiep.chn</t>
  </si>
  <si>
    <t xml:space="preserve">National outturn: GSO / Ministry of Finance, FY2025 revenue = VND 2,650.1 trillion.</t>
  </si>
  <si>
    <t xml:space="preserve">Units</t>
  </si>
  <si>
    <t xml:space="preserve">VND billion (ty dong), as published. 1,000 bn = VND 1 trillion.</t>
  </si>
  <si>
    <t xml:space="preserve">What the variable is</t>
  </si>
  <si>
    <t xml:space="preserve">"Nop ngan sach" = total remittance to the state budget by the enterprise.</t>
  </si>
  <si>
    <t xml:space="preserve">It bundles VAT (domestic and import), corporate income tax, personal income tax withheld</t>
  </si>
  <si>
    <t xml:space="preserve">from staff, and land and land-rent payments. It is REMITTANCE, not tax incidence: VAT and</t>
  </si>
  <si>
    <t xml:space="preserve">withheld PIT are collected from customers and employees, not borne by the firm.</t>
  </si>
  <si>
    <t xml:space="preserve">Excise (SCT) and natural-resource tax are not split out but sit inside the totals for</t>
  </si>
  <si>
    <t xml:space="preserve">tobacco, brewing, fuel and mining enterprises.</t>
  </si>
  <si>
    <t xml:space="preserve">Ownership rule</t>
  </si>
  <si>
    <t xml:space="preserve">SOE = the state holds control, central or provincial, including state-controlled JVs.</t>
  </si>
  <si>
    <t xml:space="preserve">Private = domestically owned private enterprise. FDI = a foreign investor holds control.</t>
  </si>
  <si>
    <t xml:space="preserve">Base = STATE 100 and PRIVATE 100 membership. Firms on neither list were classified by</t>
  </si>
  <si>
    <t xml:space="preserve">hand; every override is recorded in column J of the Firm level sheet.</t>
  </si>
  <si>
    <t xml:space="preserve">Judgement calls</t>
  </si>
  <si>
    <t xml:space="preserve">Vietsovpetro -&gt; SOE (PVN 51% / Zarubezhneft 49%). CafeF omits it from STATE 100.</t>
  </si>
  <si>
    <t xml:space="preserve">Sabeco -&gt; FDI (ThaiBev 53.6%; MOIT retains 36%).</t>
  </si>
  <si>
    <t xml:space="preserve">Nghi Son Refinery -&gt; FDI (Idemitsu + KPI 70.2%; PVN 25.1%).</t>
  </si>
  <si>
    <t xml:space="preserve">PVI, Binh Minh Plastics, VSIP Nghe An, Ciputra Hanoi, Long Son Petrochemicals -&gt; FDI.</t>
  </si>
  <si>
    <t xml:space="preserve">STATE 100 deduplication</t>
  </si>
  <si>
    <t xml:space="preserve">The STATE 100 ranks parents and their larger subsidiaries in the same 100 slots.</t>
  </si>
  <si>
    <t xml:space="preserve">31 entries are subsidiaries of another entry and are netted out once, reproducing the</t>
  </si>
  <si>
    <t xml:space="preserve">publisher total of VND 425,800 bn. See the STATE 100 firms sheet.</t>
  </si>
  <si>
    <t xml:space="preserve">Caveats</t>
  </si>
  <si>
    <t xml:space="preserve">1. Each VNTAX 200 row is the figure the publisher ranks on. Subsidiaries shown nested</t>
  </si>
  <si>
    <t xml:space="preserve">   under a parent there are not added in, so group totals may exceed the row value.</t>
  </si>
  <si>
    <t xml:space="preserve">2. Both lists are cut-offs, not a census of all taxpayers.</t>
  </si>
  <si>
    <t xml:space="preserve">3. Publisher figures, reconciled to the publisher's own totals, not to MoF returns.</t>
  </si>
  <si>
    <t xml:space="preserve">Built</t>
  </si>
  <si>
    <t xml:space="preserve">Analysis prepared 4 September 2026.</t>
  </si>
  <si>
    <t xml:space="preserve">Rank</t>
  </si>
  <si>
    <t xml:space="preserve">Enterprise (VN)</t>
  </si>
  <si>
    <t xml:space="preserve">Trading name</t>
  </si>
  <si>
    <t xml:space="preserve">Code</t>
  </si>
  <si>
    <t xml:space="preserve">Ownership</t>
  </si>
  <si>
    <t xml:space="preserve">Sector</t>
  </si>
  <si>
    <t xml:space="preserve">Sector (source, VN)</t>
  </si>
  <si>
    <t xml:space="preserve">Budget payment (VND bn)</t>
  </si>
  <si>
    <t xml:space="preserve">Share of list</t>
  </si>
  <si>
    <t xml:space="preserve">Ownership basis / note</t>
  </si>
  <si>
    <t xml:space="preserve">VAT domestic</t>
  </si>
  <si>
    <t xml:space="preserve">VAT imports</t>
  </si>
  <si>
    <t xml:space="preserve">Corporate income tax</t>
  </si>
  <si>
    <t xml:space="preserve">Personal income tax</t>
  </si>
  <si>
    <t xml:space="preserve">Land &amp; land rent</t>
  </si>
  <si>
    <t xml:space="preserve">Tập đoàn Vingroup - Công ty Cổ phần</t>
  </si>
  <si>
    <t xml:space="preserve">Vingroup</t>
  </si>
  <si>
    <t xml:space="preserve">VIC</t>
  </si>
  <si>
    <t xml:space="preserve">Private</t>
  </si>
  <si>
    <t xml:space="preserve">Real estate &amp; construction</t>
  </si>
  <si>
    <t xml:space="preserve">Bất động sản, Ô tô</t>
  </si>
  <si>
    <t xml:space="preserve">CafeF PRIVATE 100 (2026)</t>
  </si>
  <si>
    <t xml:space="preserve">Tập đoàn Công nghiệp - Năng lượng Quốc gia Việt Nam</t>
  </si>
  <si>
    <t xml:space="preserve">PetroVietnam</t>
  </si>
  <si>
    <t xml:space="preserve">PVN</t>
  </si>
  <si>
    <t xml:space="preserve">SOE</t>
  </si>
  <si>
    <t xml:space="preserve">Oil, gas &amp; fuels</t>
  </si>
  <si>
    <t xml:space="preserve">Dầu khí</t>
  </si>
  <si>
    <t xml:space="preserve">CafeF STATE 100 (2026)</t>
  </si>
  <si>
    <t xml:space="preserve">Tập đoàn Công nghiệp - Viễn thông Quân đội (Viettel)</t>
  </si>
  <si>
    <t xml:space="preserve">Viettel</t>
  </si>
  <si>
    <t xml:space="preserve">VIETTEL</t>
  </si>
  <si>
    <t xml:space="preserve">Technology &amp; telecom</t>
  </si>
  <si>
    <t xml:space="preserve">Công nghệ - Viễn thông - Truyền thông</t>
  </si>
  <si>
    <t xml:space="preserve">Tập đoàn Xăng dầu Việt Nam</t>
  </si>
  <si>
    <t xml:space="preserve">Petrolimex</t>
  </si>
  <si>
    <t xml:space="preserve">PLX</t>
  </si>
  <si>
    <t xml:space="preserve">Xăng dầu - khí đốt</t>
  </si>
  <si>
    <t xml:space="preserve">Công ty TNHH Nhà máy Bia Heineken Việt Nam</t>
  </si>
  <si>
    <t xml:space="preserve">Heineken Vietnam</t>
  </si>
  <si>
    <t xml:space="preserve">HEINEKEN</t>
  </si>
  <si>
    <t xml:space="preserve">FDI</t>
  </si>
  <si>
    <t xml:space="preserve">Food, beverage &amp; brewing</t>
  </si>
  <si>
    <t xml:space="preserve">Bia rượu</t>
  </si>
  <si>
    <t xml:space="preserve">Heineken NV, foreign-controlled JV</t>
  </si>
  <si>
    <t xml:space="preserve">Công ty Ô tô Toyota Việt Nam</t>
  </si>
  <si>
    <t xml:space="preserve">Toyota Vietnam</t>
  </si>
  <si>
    <t xml:space="preserve">TOYOTAVN</t>
  </si>
  <si>
    <t xml:space="preserve">Automotive</t>
  </si>
  <si>
    <t xml:space="preserve">Ô tô</t>
  </si>
  <si>
    <t xml:space="preserve">Toyota (JP)</t>
  </si>
  <si>
    <t xml:space="preserve">Công ty Cổ phần Tập đoàn Sunshine</t>
  </si>
  <si>
    <t xml:space="preserve">Sunshine Group</t>
  </si>
  <si>
    <t xml:space="preserve">KSF</t>
  </si>
  <si>
    <t xml:space="preserve">Bất động sản - Xây dựng</t>
  </si>
  <si>
    <t xml:space="preserve">Tập đoàn Công nghiệp Than - Khoáng sản Việt Nam</t>
  </si>
  <si>
    <t xml:space="preserve">Vinacomin</t>
  </si>
  <si>
    <t xml:space="preserve">VINACOMIN</t>
  </si>
  <si>
    <t xml:space="preserve">Coal &amp; mining</t>
  </si>
  <si>
    <t xml:space="preserve">Than, Khoáng sản</t>
  </si>
  <si>
    <t xml:space="preserve">Công ty TNHH Lọc hóa dầu Nghi Sơn</t>
  </si>
  <si>
    <t xml:space="preserve">NSRP</t>
  </si>
  <si>
    <t xml:space="preserve">Idemitsu + KPI 70.2%, PVN 25.1%</t>
  </si>
  <si>
    <t xml:space="preserve">Tổng Công ty Thuốc lá Việt Nam - Công ty TNHH MTV</t>
  </si>
  <si>
    <t xml:space="preserve">Vinataba</t>
  </si>
  <si>
    <t xml:space="preserve">VINATABA</t>
  </si>
  <si>
    <t xml:space="preserve">Tobacco</t>
  </si>
  <si>
    <t xml:space="preserve">Thuốc lá</t>
  </si>
  <si>
    <t xml:space="preserve">Liên doanh Việt - Nga Vietsovpetro</t>
  </si>
  <si>
    <t xml:space="preserve">Vietsovpetro</t>
  </si>
  <si>
    <t xml:space="preserve">VIETSOVPETRO</t>
  </si>
  <si>
    <t xml:space="preserve">PVN 51% / Zarubezhneft 49%, state-controlled JV</t>
  </si>
  <si>
    <t xml:space="preserve">CTCP Tập đoàn Trường Hải</t>
  </si>
  <si>
    <t xml:space="preserve">Thaco Group</t>
  </si>
  <si>
    <t xml:space="preserve">THA</t>
  </si>
  <si>
    <t xml:space="preserve">Tập đoàn Điện lực Việt Nam - Công ty TNHH MTV</t>
  </si>
  <si>
    <t xml:space="preserve">EVN</t>
  </si>
  <si>
    <t xml:space="preserve">Power &amp; electrical</t>
  </si>
  <si>
    <t xml:space="preserve">Điện năng</t>
  </si>
  <si>
    <t xml:space="preserve">Tổng CTCP Bia - Rượu - Nước giải khát Sài Gòn</t>
  </si>
  <si>
    <t xml:space="preserve">Sabeco</t>
  </si>
  <si>
    <t xml:space="preserve">SAB</t>
  </si>
  <si>
    <t xml:space="preserve">ThaiBev 53.6%; MOIT 36%</t>
  </si>
  <si>
    <t xml:space="preserve">Công ty TNHH Phát Triển Khu đô thị Nam Thăng Long</t>
  </si>
  <si>
    <t xml:space="preserve">Ciputra Hanoi</t>
  </si>
  <si>
    <t xml:space="preserve">CIPUTRAHN</t>
  </si>
  <si>
    <t xml:space="preserve">Ciputra (ID) led JV with UDIC</t>
  </si>
  <si>
    <t xml:space="preserve">Công ty Cổ phần Đầu tư phát triển Thành phố Thông minh Bắc Hà Nội</t>
  </si>
  <si>
    <t xml:space="preserve">NH Smart City</t>
  </si>
  <si>
    <t xml:space="preserve">NHSC</t>
  </si>
  <si>
    <t xml:space="preserve">Công ty cổ phần Tập đoàn Hòa Phát</t>
  </si>
  <si>
    <t xml:space="preserve">Hòa Phát Group</t>
  </si>
  <si>
    <t xml:space="preserve">HPG</t>
  </si>
  <si>
    <t xml:space="preserve">Steel &amp; building materials</t>
  </si>
  <si>
    <t xml:space="preserve">Thép</t>
  </si>
  <si>
    <t xml:space="preserve">Ngân hàng Thương mại cổ phần Ngoại thương Việt Nam</t>
  </si>
  <si>
    <t xml:space="preserve">Vietcombank</t>
  </si>
  <si>
    <t xml:space="preserve">VCB</t>
  </si>
  <si>
    <t xml:space="preserve">Banking</t>
  </si>
  <si>
    <t xml:space="preserve">Ngân hàng</t>
  </si>
  <si>
    <t xml:space="preserve">Tập đoàn Thành Công (TC Group)</t>
  </si>
  <si>
    <t xml:space="preserve">Thành Công Group</t>
  </si>
  <si>
    <t xml:space="preserve">TCGROUP</t>
  </si>
  <si>
    <t xml:space="preserve">Ô tô, Bất động sản</t>
  </si>
  <si>
    <t xml:space="preserve">Công ty Honda Việt Nam</t>
  </si>
  <si>
    <t xml:space="preserve">Honda Vietnam</t>
  </si>
  <si>
    <t xml:space="preserve">HONDA</t>
  </si>
  <si>
    <t xml:space="preserve">Honda (JP)</t>
  </si>
  <si>
    <t xml:space="preserve">Ngân hàng Thương mại cổ phần Đầu tư và Phát triển Việt Nam</t>
  </si>
  <si>
    <t xml:space="preserve">BIDV</t>
  </si>
  <si>
    <t xml:space="preserve">BID</t>
  </si>
  <si>
    <t xml:space="preserve">Công ty TNHH Ford Việt Nam</t>
  </si>
  <si>
    <t xml:space="preserve">Ford Vietnam</t>
  </si>
  <si>
    <t xml:space="preserve">FORDVN</t>
  </si>
  <si>
    <t xml:space="preserve">Ford (US)</t>
  </si>
  <si>
    <t xml:space="preserve">Công ty Cổ phần FPT</t>
  </si>
  <si>
    <t xml:space="preserve">FPT</t>
  </si>
  <si>
    <t xml:space="preserve">Ngân hàng TMCP Kỹ Thương Việt Nam</t>
  </si>
  <si>
    <t xml:space="preserve">Techcombank</t>
  </si>
  <si>
    <t xml:space="preserve">TCB</t>
  </si>
  <si>
    <t xml:space="preserve">Ngân hàng Thương mại Cổ phần Công thương Việt Nam</t>
  </si>
  <si>
    <t xml:space="preserve">Vietinbank</t>
  </si>
  <si>
    <t xml:space="preserve">CTG</t>
  </si>
  <si>
    <t xml:space="preserve">Ngân hàng Thương mại cổ phần Quân đội</t>
  </si>
  <si>
    <t xml:space="preserve">MB</t>
  </si>
  <si>
    <t xml:space="preserve">MBB</t>
  </si>
  <si>
    <t xml:space="preserve">Tổng Công ty Đầu tư và Kinh doanh vốn Nhà nước</t>
  </si>
  <si>
    <t xml:space="preserve">SCIC</t>
  </si>
  <si>
    <t xml:space="preserve">Finance &amp; investment</t>
  </si>
  <si>
    <t xml:space="preserve">Đầu tư</t>
  </si>
  <si>
    <t xml:space="preserve">Ngân hàng Nông nghiệp và Phát triển Nông thôn Việt Nam</t>
  </si>
  <si>
    <t xml:space="preserve">Agribank</t>
  </si>
  <si>
    <t xml:space="preserve">AGRIBANK</t>
  </si>
  <si>
    <t xml:space="preserve">Ngân hàng Thương mại Cổ phần Việt Nam Thịnh Vượng</t>
  </si>
  <si>
    <t xml:space="preserve">VPBank</t>
  </si>
  <si>
    <t xml:space="preserve">VPB</t>
  </si>
  <si>
    <t xml:space="preserve">Công ty Đầu tư Tài chính Nhà nước T.P Hồ Chí Minh</t>
  </si>
  <si>
    <t xml:space="preserve">HFIC</t>
  </si>
  <si>
    <t xml:space="preserve">Tập đoàn Bưu chính Viễn thông Việt Nam</t>
  </si>
  <si>
    <t xml:space="preserve">VNPT</t>
  </si>
  <si>
    <t xml:space="preserve">Ngân hàng Thương Mại Cổ Phần Á Châu</t>
  </si>
  <si>
    <t xml:space="preserve">ACB</t>
  </si>
  <si>
    <t xml:space="preserve">Tổng Công ty Cổ phần Đầu tư Xây dựng và Thương mại Việt Nam</t>
  </si>
  <si>
    <t xml:space="preserve">CTX Holdings</t>
  </si>
  <si>
    <t xml:space="preserve">CTX</t>
  </si>
  <si>
    <t xml:space="preserve">Tổng công ty Cảng hàng không Việt Nam - CTCP</t>
  </si>
  <si>
    <t xml:space="preserve">ACV</t>
  </si>
  <si>
    <t xml:space="preserve">Aviation</t>
  </si>
  <si>
    <t xml:space="preserve">Hàng không</t>
  </si>
  <si>
    <t xml:space="preserve">Công ty Cổ phần Tập đoàn MaSan</t>
  </si>
  <si>
    <t xml:space="preserve">Masan Group</t>
  </si>
  <si>
    <t xml:space="preserve">MSN</t>
  </si>
  <si>
    <t xml:space="preserve">Thực phẩm, Bán lẻ, Tài chính</t>
  </si>
  <si>
    <t xml:space="preserve">Ngân hàng Thương mại Cổ phần Sài Gòn Tài Lộc</t>
  </si>
  <si>
    <t xml:space="preserve">Sacombank</t>
  </si>
  <si>
    <t xml:space="preserve">STB</t>
  </si>
  <si>
    <t xml:space="preserve">Tổng Công ty Khánh Việt</t>
  </si>
  <si>
    <t xml:space="preserve">Khatoco</t>
  </si>
  <si>
    <t xml:space="preserve">KHATOCO</t>
  </si>
  <si>
    <t xml:space="preserve">Tổng CTCP Bia - Rượu - Nước giải khát Hà Nội</t>
  </si>
  <si>
    <t xml:space="preserve">Habeco</t>
  </si>
  <si>
    <t xml:space="preserve">BHN</t>
  </si>
  <si>
    <t xml:space="preserve">Công ty Cổ phần Sữa Việt Nam</t>
  </si>
  <si>
    <t xml:space="preserve">Vinamilk</t>
  </si>
  <si>
    <t xml:space="preserve">VNM</t>
  </si>
  <si>
    <t xml:space="preserve">Thực phẩm</t>
  </si>
  <si>
    <t xml:space="preserve">Ngân hàng TMCP Phát triển T.P Hồ Chí Minh</t>
  </si>
  <si>
    <t xml:space="preserve">HDBank</t>
  </si>
  <si>
    <t xml:space="preserve">HDB</t>
  </si>
  <si>
    <t xml:space="preserve">Tổng Công ty Công nghiệp Sài Gòn - TNHH Một thành viên</t>
  </si>
  <si>
    <t xml:space="preserve">CNS</t>
  </si>
  <si>
    <t xml:space="preserve">Tổng Công ty Thương mại Xuất nhập khẩu Thanh Lễ - CTCP</t>
  </si>
  <si>
    <t xml:space="preserve">Thalexim</t>
  </si>
  <si>
    <t xml:space="preserve">TLP</t>
  </si>
  <si>
    <t xml:space="preserve">Tập đoàn Công nghiệp Cao su Việt Nam</t>
  </si>
  <si>
    <t xml:space="preserve">Vietnam Rubber Group</t>
  </si>
  <si>
    <t xml:space="preserve">GVR</t>
  </si>
  <si>
    <t xml:space="preserve">Chemicals, plastics &amp; rubber</t>
  </si>
  <si>
    <t xml:space="preserve">Cao su, Bất động sản</t>
  </si>
  <si>
    <t xml:space="preserve">Công ty Cổ phần Tập đoàn BIM</t>
  </si>
  <si>
    <t xml:space="preserve">BIM Group</t>
  </si>
  <si>
    <t xml:space="preserve">BIMGROUP</t>
  </si>
  <si>
    <t xml:space="preserve">Bất động sản, Điện năng</t>
  </si>
  <si>
    <t xml:space="preserve">Ngân hàng Thương mại cổ phần Lộc Phát Việt Nam</t>
  </si>
  <si>
    <t xml:space="preserve">LPBank</t>
  </si>
  <si>
    <t xml:space="preserve">LPB</t>
  </si>
  <si>
    <t xml:space="preserve">Tổng Công ty Hàng không Việt Nam - CTCP</t>
  </si>
  <si>
    <t xml:space="preserve">Vietnam Airlines</t>
  </si>
  <si>
    <t xml:space="preserve">HVN</t>
  </si>
  <si>
    <t xml:space="preserve">Sở Giao dịch Chứng khoán Việt Nam</t>
  </si>
  <si>
    <t xml:space="preserve">Vietnam Exchange</t>
  </si>
  <si>
    <t xml:space="preserve">VNEX</t>
  </si>
  <si>
    <t xml:space="preserve">Tài chính</t>
  </si>
  <si>
    <t xml:space="preserve">Ngân hàng Thương mại cổ phần Sài Gòn - Hà Nội</t>
  </si>
  <si>
    <t xml:space="preserve">SHB</t>
  </si>
  <si>
    <t xml:space="preserve">Tổng Công ty Cấp nước Sài Gòn</t>
  </si>
  <si>
    <t xml:space="preserve">Sawaco</t>
  </si>
  <si>
    <t xml:space="preserve">SAWACO</t>
  </si>
  <si>
    <t xml:space="preserve">Water &amp; utilities</t>
  </si>
  <si>
    <t xml:space="preserve">Cấp thoát nước</t>
  </si>
  <si>
    <t xml:space="preserve">Công ty cổ phần Đầu tư Bất động sản Taseco</t>
  </si>
  <si>
    <t xml:space="preserve">Taseco Land</t>
  </si>
  <si>
    <t xml:space="preserve">TAL</t>
  </si>
  <si>
    <t xml:space="preserve">Công ty TNHH ô tô Mitsubishi Việt Nam</t>
  </si>
  <si>
    <t xml:space="preserve">Mitsubishi Motors</t>
  </si>
  <si>
    <t xml:space="preserve">MMVN</t>
  </si>
  <si>
    <t xml:space="preserve">Mitsubishi Motors (JP)</t>
  </si>
  <si>
    <t xml:space="preserve">Công ty TNHH Apple Việt Nam</t>
  </si>
  <si>
    <t xml:space="preserve">Apple Việt Nam</t>
  </si>
  <si>
    <t xml:space="preserve">APPLE</t>
  </si>
  <si>
    <t xml:space="preserve">Retail &amp; trade</t>
  </si>
  <si>
    <t xml:space="preserve">Phân phối - Bán lẻ</t>
  </si>
  <si>
    <t xml:space="preserve">Apple Inc (US)</t>
  </si>
  <si>
    <t xml:space="preserve">Công ty TNHH MTV - Tổng Công ty Tân Cảng Sài Gòn</t>
  </si>
  <si>
    <t xml:space="preserve">Saigon New Port/SNP</t>
  </si>
  <si>
    <t xml:space="preserve">SNP</t>
  </si>
  <si>
    <t xml:space="preserve">Logistics &amp; transport</t>
  </si>
  <si>
    <t xml:space="preserve">Vận tải - Logistics</t>
  </si>
  <si>
    <t xml:space="preserve">Công ty TNHH Bia Carlsberg Việt Nam</t>
  </si>
  <si>
    <t xml:space="preserve">Carlsberg Việt Nam</t>
  </si>
  <si>
    <t xml:space="preserve">CARLSBERG</t>
  </si>
  <si>
    <t xml:space="preserve">Carlsberg (DK)</t>
  </si>
  <si>
    <t xml:space="preserve">Tổng Công ty Quản lý bay Việt Nam</t>
  </si>
  <si>
    <t xml:space="preserve">VATM</t>
  </si>
  <si>
    <t xml:space="preserve">Công ty Cổ phần Tập đoàn GELEX</t>
  </si>
  <si>
    <t xml:space="preserve">Gelex</t>
  </si>
  <si>
    <t xml:space="preserve">GEX</t>
  </si>
  <si>
    <t xml:space="preserve">Bất động sản, Thiết bị điện</t>
  </si>
  <si>
    <t xml:space="preserve">Công ty cổ phần Phát triển Bất động sản Phát Đạt</t>
  </si>
  <si>
    <t xml:space="preserve">Phát Đạt</t>
  </si>
  <si>
    <t xml:space="preserve">PDR</t>
  </si>
  <si>
    <t xml:space="preserve">Công ty cổ phần Chứng khoán VPS</t>
  </si>
  <si>
    <t xml:space="preserve">VPS Securities</t>
  </si>
  <si>
    <t xml:space="preserve">VCK</t>
  </si>
  <si>
    <t xml:space="preserve">Securities</t>
  </si>
  <si>
    <t xml:space="preserve">Chứng khoán</t>
  </si>
  <si>
    <t xml:space="preserve">CÔNG TY TNHH MTV XỔ SỐ KIẾN THIẾT LONG AN</t>
  </si>
  <si>
    <t xml:space="preserve">Long An Lottery</t>
  </si>
  <si>
    <t xml:space="preserve">XSLA</t>
  </si>
  <si>
    <t xml:space="preserve">Lottery</t>
  </si>
  <si>
    <t xml:space="preserve">Xổ số</t>
  </si>
  <si>
    <t xml:space="preserve">CÔNG TY TNHH MTV XỔ SỐ KIẾN THIẾT BẠC LIÊU</t>
  </si>
  <si>
    <t xml:space="preserve">Bạc Liêu Lottery</t>
  </si>
  <si>
    <t xml:space="preserve">XSBL</t>
  </si>
  <si>
    <t xml:space="preserve">CÔNG TY TNHH MTV XỔ SỐ KIẾN THIẾT BÌNH DƯƠNG</t>
  </si>
  <si>
    <t xml:space="preserve">Bình Dương Lottery</t>
  </si>
  <si>
    <t xml:space="preserve">XSBINHDUONG</t>
  </si>
  <si>
    <t xml:space="preserve">Ngân hàng Thương mại cổ phần Tiên Phong</t>
  </si>
  <si>
    <t xml:space="preserve">TPBank</t>
  </si>
  <si>
    <t xml:space="preserve">TPB</t>
  </si>
  <si>
    <t xml:space="preserve">Công ty TNHH MTV Xổ Số Kiến Thiết Bến Tre</t>
  </si>
  <si>
    <t xml:space="preserve">Bến Tre Lottery</t>
  </si>
  <si>
    <t xml:space="preserve">XSBENTRE</t>
  </si>
  <si>
    <t xml:space="preserve">Ngân hàng Thương mại cổ phần Quốc tế Việt Nam</t>
  </si>
  <si>
    <t xml:space="preserve">VIB</t>
  </si>
  <si>
    <t xml:space="preserve">Công ty TNHH MTV Xổ số kiến thiết Cà Mau</t>
  </si>
  <si>
    <t xml:space="preserve">Cà Mau Lottery</t>
  </si>
  <si>
    <t xml:space="preserve">XSCM</t>
  </si>
  <si>
    <t xml:space="preserve">Công ty TNHH Xổ số kiến thiết tỉnh Tây Ninh</t>
  </si>
  <si>
    <t xml:space="preserve">Tây Ninh Lottery</t>
  </si>
  <si>
    <t xml:space="preserve">XSTN</t>
  </si>
  <si>
    <t xml:space="preserve">CÔNG TY TNHH MTV XỔ SỐ KIẾN THIẾT TỈNH ĐỒNG THÁP</t>
  </si>
  <si>
    <t xml:space="preserve">Đồng Tháp Lottery</t>
  </si>
  <si>
    <t xml:space="preserve">XSDT</t>
  </si>
  <si>
    <t xml:space="preserve">CÔNG TY TNHH MTV XỔ SỐ KIẾN THIẾT KIÊN GIANG</t>
  </si>
  <si>
    <t xml:space="preserve">Kiên Giang Lottery</t>
  </si>
  <si>
    <t xml:space="preserve">XSKG</t>
  </si>
  <si>
    <t xml:space="preserve">Xổ số kiến thiết tỉnh Trà Vinh</t>
  </si>
  <si>
    <t xml:space="preserve">Trà Vinh Lottery</t>
  </si>
  <si>
    <t xml:space="preserve">XSTV</t>
  </si>
  <si>
    <t xml:space="preserve">Công ty TNHH MTV Xổ số kiến thiết Bình Thuận</t>
  </si>
  <si>
    <t xml:space="preserve">Bình Thuận Lottery</t>
  </si>
  <si>
    <t xml:space="preserve">XSBINHTHUAN</t>
  </si>
  <si>
    <t xml:space="preserve">Công ty TNHH MTV Xổ số kiến thiết Vĩnh Long</t>
  </si>
  <si>
    <t xml:space="preserve">Vĩnh Long Lottery</t>
  </si>
  <si>
    <t xml:space="preserve">XSVL</t>
  </si>
  <si>
    <t xml:space="preserve">Tổng Công ty Thương mại Sài Gòn - TNHH MTV</t>
  </si>
  <si>
    <t xml:space="preserve">Satra</t>
  </si>
  <si>
    <t xml:space="preserve">SATRA</t>
  </si>
  <si>
    <t xml:space="preserve">CÔNG TY TNHH MTV XỔ SỐ KIẾN THIẾT TỈNH BÀ RỊA - VŨNG TÀU</t>
  </si>
  <si>
    <t xml:space="preserve">BRVT Lottery</t>
  </si>
  <si>
    <t xml:space="preserve">XSBRVT</t>
  </si>
  <si>
    <t xml:space="preserve">Công ty TNHH MTV Xổ số kiến thiết Lâm Đồng</t>
  </si>
  <si>
    <t xml:space="preserve">Lâm Đồng Lottery</t>
  </si>
  <si>
    <t xml:space="preserve">XSLD</t>
  </si>
  <si>
    <t xml:space="preserve">CÔNG TY TNHH MTV XỔ SỐ KIẾN THIẾT AN GIANG</t>
  </si>
  <si>
    <t xml:space="preserve">An Giang Lottery</t>
  </si>
  <si>
    <t xml:space="preserve">XSAG</t>
  </si>
  <si>
    <t xml:space="preserve">CÔNG TY TNHH MTV XỔ SỐ KIẾN THIẾT TIỀN GIANG</t>
  </si>
  <si>
    <t xml:space="preserve">Tiền Giang Lottery</t>
  </si>
  <si>
    <t xml:space="preserve">XSTG</t>
  </si>
  <si>
    <t xml:space="preserve">CÔNG TY TNHH MTV XỔ SỐ KIẾN THIẾT VÀ DỊCH VỤ TỔNG HỢP ĐỒNG NAI</t>
  </si>
  <si>
    <t xml:space="preserve">Đồng Nai Lottery</t>
  </si>
  <si>
    <t xml:space="preserve">XSDONGNAI</t>
  </si>
  <si>
    <t xml:space="preserve">CÔNG TY TNHH NHÀ NƯỚC MTV XỔ SỐ KIẾN THIẾT CẦN THƠ</t>
  </si>
  <si>
    <t xml:space="preserve">Cần Thơ Lottery</t>
  </si>
  <si>
    <t xml:space="preserve">XSCT</t>
  </si>
  <si>
    <t xml:space="preserve">Tổng Công ty Đông Bắc - BQP</t>
  </si>
  <si>
    <t xml:space="preserve">Necorp</t>
  </si>
  <si>
    <t xml:space="preserve">NECORP</t>
  </si>
  <si>
    <t xml:space="preserve">Công ty Cổ phần Bất động sản JS</t>
  </si>
  <si>
    <t xml:space="preserve">JS REAL ESTATE</t>
  </si>
  <si>
    <t xml:space="preserve">JSRE</t>
  </si>
  <si>
    <t xml:space="preserve">Công ty cổ phần Đầu tư Phát triển Du lịch Phú Quốc</t>
  </si>
  <si>
    <t xml:space="preserve">Corona Casino &amp; Resort</t>
  </si>
  <si>
    <t xml:space="preserve">DLPQ</t>
  </si>
  <si>
    <t xml:space="preserve">Tourism &amp; hospitality</t>
  </si>
  <si>
    <t xml:space="preserve">Du lịch</t>
  </si>
  <si>
    <t xml:space="preserve">Công ty TNHH MTV Xổ số kiến thiết Sóc Trăng</t>
  </si>
  <si>
    <t xml:space="preserve">Sóc Trăng Lottery</t>
  </si>
  <si>
    <t xml:space="preserve">XSST</t>
  </si>
  <si>
    <t xml:space="preserve">Tập đoàn Hoá chất Việt Nam</t>
  </si>
  <si>
    <t xml:space="preserve">Vinachem</t>
  </si>
  <si>
    <t xml:space="preserve">VINACHEM</t>
  </si>
  <si>
    <t xml:space="preserve">Hóa chất</t>
  </si>
  <si>
    <t xml:space="preserve">Công ty TNHH MTV Xổ số điện toán Việt Nam</t>
  </si>
  <si>
    <t xml:space="preserve">Vietlott</t>
  </si>
  <si>
    <t xml:space="preserve">VIETLOTT</t>
  </si>
  <si>
    <t xml:space="preserve">Công ty Cổ phần Tasco</t>
  </si>
  <si>
    <t xml:space="preserve">TASCO</t>
  </si>
  <si>
    <t xml:space="preserve">HUT</t>
  </si>
  <si>
    <t xml:space="preserve">Ô tô, Hạ tầng</t>
  </si>
  <si>
    <t xml:space="preserve">Công ty Cổ phần Vàng bạc Đá quý Phú Nhuận</t>
  </si>
  <si>
    <t xml:space="preserve">PNJ</t>
  </si>
  <si>
    <t xml:space="preserve">Bán lẻ</t>
  </si>
  <si>
    <t xml:space="preserve">Công ty TNHH MTV Xổ số kiến thiết Hậu Giang</t>
  </si>
  <si>
    <t xml:space="preserve">Hậu Giang Lottery</t>
  </si>
  <si>
    <t xml:space="preserve">XSHG</t>
  </si>
  <si>
    <t xml:space="preserve">Công ty Cổ phần đầu tư Thế giới di động</t>
  </si>
  <si>
    <t xml:space="preserve">Mobile World Group</t>
  </si>
  <si>
    <t xml:space="preserve">MWG</t>
  </si>
  <si>
    <t xml:space="preserve">Tổng Công ty Đầu tư Phát triển nhà và Đô thị-Công ty TNHH</t>
  </si>
  <si>
    <t xml:space="preserve">HUD</t>
  </si>
  <si>
    <t xml:space="preserve">HUDX</t>
  </si>
  <si>
    <t xml:space="preserve">Công ty Cổ phần Cơ điện lạnh</t>
  </si>
  <si>
    <t xml:space="preserve">REE</t>
  </si>
  <si>
    <t xml:space="preserve">Xây lắp, điện năng, bất động sản</t>
  </si>
  <si>
    <t xml:space="preserve">Công ty TNHH MTV Xổ số kiến thiết và dịch vụ tổng hợp Bình Phước</t>
  </si>
  <si>
    <t xml:space="preserve">Bình Phước Lottery</t>
  </si>
  <si>
    <t xml:space="preserve">XSBP</t>
  </si>
  <si>
    <t xml:space="preserve">Công ty Cổ phần Vincom Retail</t>
  </si>
  <si>
    <t xml:space="preserve">Vincom Retail</t>
  </si>
  <si>
    <t xml:space="preserve">VRE</t>
  </si>
  <si>
    <t xml:space="preserve">Công ty Cổ phần Tập đoàn VNG</t>
  </si>
  <si>
    <t xml:space="preserve">VNG Group</t>
  </si>
  <si>
    <t xml:space="preserve">VNZ</t>
  </si>
  <si>
    <t xml:space="preserve">Công ty TNHH MTV Thương mại Dầu khí Đồng Tháp</t>
  </si>
  <si>
    <t xml:space="preserve">Petimex</t>
  </si>
  <si>
    <t xml:space="preserve">PDT</t>
  </si>
  <si>
    <t xml:space="preserve">Tập đoàn Bảo Việt</t>
  </si>
  <si>
    <t xml:space="preserve">BaoViet Holdings</t>
  </si>
  <si>
    <t xml:space="preserve">BVH</t>
  </si>
  <si>
    <t xml:space="preserve">Insurance</t>
  </si>
  <si>
    <t xml:space="preserve">Bảo hiểm</t>
  </si>
  <si>
    <t xml:space="preserve">Công ty Cổ phần Hàng không Vietjet</t>
  </si>
  <si>
    <t xml:space="preserve">Vietjetair</t>
  </si>
  <si>
    <t xml:space="preserve">VJC</t>
  </si>
  <si>
    <t xml:space="preserve">Công ty cổ phần Chứng khoán SSI</t>
  </si>
  <si>
    <t xml:space="preserve">SSI</t>
  </si>
  <si>
    <t xml:space="preserve">Ngân hàng Thương mại cổ phần Đông Nam Á</t>
  </si>
  <si>
    <t xml:space="preserve">Seabank</t>
  </si>
  <si>
    <t xml:space="preserve">SSB</t>
  </si>
  <si>
    <t xml:space="preserve">Công ty TNHH Phát triển THT</t>
  </si>
  <si>
    <t xml:space="preserve">Starlake</t>
  </si>
  <si>
    <t xml:space="preserve">STARLAKE</t>
  </si>
  <si>
    <t xml:space="preserve">THT Development, Daewoo E&amp;C (KR)</t>
  </si>
  <si>
    <t xml:space="preserve">Ngân hàng Thương mại cổ phần Hàng hải Việt Nam</t>
  </si>
  <si>
    <t xml:space="preserve">MSB</t>
  </si>
  <si>
    <t xml:space="preserve">Tổng Công ty Viễn thông Mobifone</t>
  </si>
  <si>
    <t xml:space="preserve">Mobifone</t>
  </si>
  <si>
    <t xml:space="preserve">MOBIFONE</t>
  </si>
  <si>
    <t xml:space="preserve">state 100%</t>
  </si>
  <si>
    <t xml:space="preserve">Tổng công ty IDICO - Công ty Cổ phần</t>
  </si>
  <si>
    <t xml:space="preserve">IDICO</t>
  </si>
  <si>
    <t xml:space="preserve">IDC</t>
  </si>
  <si>
    <t xml:space="preserve">Công ty Cổ phần PVI</t>
  </si>
  <si>
    <t xml:space="preserve">PVI Holdings</t>
  </si>
  <si>
    <t xml:space="preserve">PVI</t>
  </si>
  <si>
    <t xml:space="preserve">HDI Global SE (DE) ~58%</t>
  </si>
  <si>
    <t xml:space="preserve">CTCP Đầu tư Tập đoàn Tân Á Đại Thành</t>
  </si>
  <si>
    <t xml:space="preserve">Tân Á Đại Thành Investment Group</t>
  </si>
  <si>
    <t xml:space="preserve">TADT</t>
  </si>
  <si>
    <t xml:space="preserve">Hàng gia dụng, Bất động sản</t>
  </si>
  <si>
    <t xml:space="preserve">Tổng Công ty Du lịch Sài Gòn - TNHH Một thành viên</t>
  </si>
  <si>
    <t xml:space="preserve">Saigontourist</t>
  </si>
  <si>
    <t xml:space="preserve">SAIGONTOURIST</t>
  </si>
  <si>
    <t xml:space="preserve">CTCP Đầu tư Phát triển Máy Việt Nam</t>
  </si>
  <si>
    <t xml:space="preserve">VIMID</t>
  </si>
  <si>
    <t xml:space="preserve">VVS</t>
  </si>
  <si>
    <t xml:space="preserve">Tổng Công ty Công nghiệp Thực phẩm Đồng Nai</t>
  </si>
  <si>
    <t xml:space="preserve">Dofico</t>
  </si>
  <si>
    <t xml:space="preserve">DOFICO</t>
  </si>
  <si>
    <t xml:space="preserve">Công ty TNHH VSIP Nghệ An</t>
  </si>
  <si>
    <t xml:space="preserve">VSIP Nghệ An</t>
  </si>
  <si>
    <t xml:space="preserve">VSIPNA</t>
  </si>
  <si>
    <t xml:space="preserve">Sembcorp 51% / Becamex 49%</t>
  </si>
  <si>
    <t xml:space="preserve">Ngân hàng Thương mại Cổ phần Xuất nhập khẩu Việt Nam</t>
  </si>
  <si>
    <t xml:space="preserve">Eximbank</t>
  </si>
  <si>
    <t xml:space="preserve">EIB</t>
  </si>
  <si>
    <t xml:space="preserve">Công ty TNHH Bảo hiểm Nhân thọ Dai-ichi Việt Nam</t>
  </si>
  <si>
    <t xml:space="preserve">Dai-ichi Life</t>
  </si>
  <si>
    <t xml:space="preserve">DAIICHILIFE</t>
  </si>
  <si>
    <t xml:space="preserve">Dai-ichi Life (JP)</t>
  </si>
  <si>
    <t xml:space="preserve">Công ty TNHH Manulife (Việt Nam)</t>
  </si>
  <si>
    <t xml:space="preserve">Manulife Vietnam</t>
  </si>
  <si>
    <t xml:space="preserve">MANULIFE</t>
  </si>
  <si>
    <t xml:space="preserve">Manulife (CA)</t>
  </si>
  <si>
    <t xml:space="preserve">Công ty Cổ phần Tập đoàn Hoa Sen</t>
  </si>
  <si>
    <t xml:space="preserve">Hoa Sen Group</t>
  </si>
  <si>
    <t xml:space="preserve">HSG</t>
  </si>
  <si>
    <t xml:space="preserve">Công ty Cổ phần Tập đoàn PC1</t>
  </si>
  <si>
    <t xml:space="preserve">PC1 Group</t>
  </si>
  <si>
    <t xml:space="preserve">PC1</t>
  </si>
  <si>
    <t xml:space="preserve">Công ty Cổ phần BLUEMARQ GROUP</t>
  </si>
  <si>
    <t xml:space="preserve">BLUEMARQ GROUP</t>
  </si>
  <si>
    <t xml:space="preserve">DXG</t>
  </si>
  <si>
    <t xml:space="preserve">Tổng Công ty Công nghiệp Xi măng Việt Nam</t>
  </si>
  <si>
    <t xml:space="preserve">Vicem</t>
  </si>
  <si>
    <t xml:space="preserve">VICEM</t>
  </si>
  <si>
    <t xml:space="preserve">Vật liệu xây dựng</t>
  </si>
  <si>
    <t xml:space="preserve">Ministry of Construction 100%</t>
  </si>
  <si>
    <t xml:space="preserve">Tổng Công ty Hàng hải Việt Nam - CTCP</t>
  </si>
  <si>
    <t xml:space="preserve">VIMC</t>
  </si>
  <si>
    <t xml:space="preserve">MVN</t>
  </si>
  <si>
    <t xml:space="preserve">VIMC, state ~99%</t>
  </si>
  <si>
    <t xml:space="preserve">Công ty TNHH Phát triển Nam Hội An</t>
  </si>
  <si>
    <t xml:space="preserve">Hoiana</t>
  </si>
  <si>
    <t xml:space="preserve">HOIANA</t>
  </si>
  <si>
    <t xml:space="preserve">foreign-invested integrated resort</t>
  </si>
  <si>
    <t xml:space="preserve">Công ty cổ phần Tập đoàn Đầu tư Địa ốc No Va</t>
  </si>
  <si>
    <t xml:space="preserve">Novaland Group</t>
  </si>
  <si>
    <t xml:space="preserve">NVL</t>
  </si>
  <si>
    <t xml:space="preserve">Công ty cổ phần Phát triển Bất động sản Văn Phú</t>
  </si>
  <si>
    <t xml:space="preserve">Văn Phú</t>
  </si>
  <si>
    <t xml:space="preserve">VPI</t>
  </si>
  <si>
    <t xml:space="preserve">Ngân hàng Thương mại cổ phần Nam Á</t>
  </si>
  <si>
    <t xml:space="preserve">NamA Bank</t>
  </si>
  <si>
    <t xml:space="preserve">NAB</t>
  </si>
  <si>
    <t xml:space="preserve">CTCP Bia Sài Gòn - Miền Trung</t>
  </si>
  <si>
    <t xml:space="preserve">Bia Sài Gòn - Miền Trung</t>
  </si>
  <si>
    <t xml:space="preserve">SMB</t>
  </si>
  <si>
    <t xml:space="preserve">Công ty Cổ phần Đường Quảng Ngãi</t>
  </si>
  <si>
    <t xml:space="preserve">QNS</t>
  </si>
  <si>
    <t xml:space="preserve">CTCP Kim Long Motor Huế</t>
  </si>
  <si>
    <t xml:space="preserve">KIM LONG MOTORS</t>
  </si>
  <si>
    <t xml:space="preserve">KLMH</t>
  </si>
  <si>
    <t xml:space="preserve">Ngân hàng Thương mại cổ phần Phương Đông</t>
  </si>
  <si>
    <t xml:space="preserve">OCB</t>
  </si>
  <si>
    <t xml:space="preserve">Công ty TNHH World Auto</t>
  </si>
  <si>
    <t xml:space="preserve">World Auto</t>
  </si>
  <si>
    <t xml:space="preserve">WORLDAUTO</t>
  </si>
  <si>
    <t xml:space="preserve">private auto distributor</t>
  </si>
  <si>
    <t xml:space="preserve">Công ty TNHH Grab</t>
  </si>
  <si>
    <t xml:space="preserve">GRAB</t>
  </si>
  <si>
    <t xml:space="preserve">Grab (SG)</t>
  </si>
  <si>
    <t xml:space="preserve">Công ty TNHH Hoá dầu Long Sơn</t>
  </si>
  <si>
    <t xml:space="preserve">Long Sơn Petrochemicals</t>
  </si>
  <si>
    <t xml:space="preserve">LSPETRO</t>
  </si>
  <si>
    <t xml:space="preserve">Long Son Petrochemicals, SCG (TH) 100%</t>
  </si>
  <si>
    <t xml:space="preserve">Công ty cổ phần Chăn nuôi C.P Việt Nam</t>
  </si>
  <si>
    <t xml:space="preserve">C.P Vietnam Corporation</t>
  </si>
  <si>
    <t xml:space="preserve">CPVN</t>
  </si>
  <si>
    <t xml:space="preserve">Manufacturing &amp; other industry</t>
  </si>
  <si>
    <t xml:space="preserve">Nông nghiệp</t>
  </si>
  <si>
    <t xml:space="preserve">C.P. Group (TH)</t>
  </si>
  <si>
    <t xml:space="preserve">Công ty TNHH Mercedes-Benz Việt Nam</t>
  </si>
  <si>
    <t xml:space="preserve">Mercedes-Benz VietNam</t>
  </si>
  <si>
    <t xml:space="preserve">MERCEDESVN</t>
  </si>
  <si>
    <t xml:space="preserve">Mercedes-Benz (DE)</t>
  </si>
  <si>
    <t xml:space="preserve">Công ty TNHH Quốc tế Unilever Việt Nam</t>
  </si>
  <si>
    <t xml:space="preserve">Unilever Vietnam</t>
  </si>
  <si>
    <t xml:space="preserve">UNILEVER</t>
  </si>
  <si>
    <t xml:space="preserve">Unilever (UK/NL)</t>
  </si>
  <si>
    <t xml:space="preserve">Công ty cổ phần Chứng khoán VNDirect</t>
  </si>
  <si>
    <t xml:space="preserve">VNDirect</t>
  </si>
  <si>
    <t xml:space="preserve">VND</t>
  </si>
  <si>
    <t xml:space="preserve">Công ty TNHH MTV Dầu khí Thành phố Hồ Chí Minh</t>
  </si>
  <si>
    <t xml:space="preserve">Saigon Petro</t>
  </si>
  <si>
    <t xml:space="preserve">SAIGONPETRO</t>
  </si>
  <si>
    <t xml:space="preserve">HCMC state 100%</t>
  </si>
  <si>
    <t xml:space="preserve">Tổng công ty Cổ phần Dịch vụ Tổng hợp Dầu khí</t>
  </si>
  <si>
    <t xml:space="preserve">Petrosetco</t>
  </si>
  <si>
    <t xml:space="preserve">PET</t>
  </si>
  <si>
    <t xml:space="preserve">Tổng Công ty Thép Việt Nam - CTCP</t>
  </si>
  <si>
    <t xml:space="preserve">VNSteel</t>
  </si>
  <si>
    <t xml:space="preserve">TVN</t>
  </si>
  <si>
    <t xml:space="preserve">VNSteel, SCIC/MOIT majority</t>
  </si>
  <si>
    <t xml:space="preserve">Công ty Cổ phần Thực phẩm dinh dưỡng Nutifood</t>
  </si>
  <si>
    <t xml:space="preserve">Nutifood</t>
  </si>
  <si>
    <t xml:space="preserve">NUTIFOOD</t>
  </si>
  <si>
    <t xml:space="preserve">Công ty cổ phần Đầu tư Nam Long</t>
  </si>
  <si>
    <t xml:space="preserve">Nam Long</t>
  </si>
  <si>
    <t xml:space="preserve">NLG</t>
  </si>
  <si>
    <t xml:space="preserve">Công ty TNHH Bảo hiểm Nhân thọ Prudential Việt Nam</t>
  </si>
  <si>
    <t xml:space="preserve">Prudential</t>
  </si>
  <si>
    <t xml:space="preserve">PRUDENTIAL</t>
  </si>
  <si>
    <t xml:space="preserve">Prudential (UK)</t>
  </si>
  <si>
    <t xml:space="preserve">Công ty Cổ phần Đầu tư và Kinh doanh nhà Khang Điền</t>
  </si>
  <si>
    <t xml:space="preserve">Khang Điền</t>
  </si>
  <si>
    <t xml:space="preserve">KDH</t>
  </si>
  <si>
    <t xml:space="preserve">Tập đoàn Dệt may Việt Nam</t>
  </si>
  <si>
    <t xml:space="preserve">Vinatex</t>
  </si>
  <si>
    <t xml:space="preserve">VGT</t>
  </si>
  <si>
    <t xml:space="preserve">Textiles</t>
  </si>
  <si>
    <t xml:space="preserve">Dệt may</t>
  </si>
  <si>
    <t xml:space="preserve">Vinatex, state ~53%</t>
  </si>
  <si>
    <t xml:space="preserve">Công ty Cổ phần Nguyên liệu Á Châu AIG</t>
  </si>
  <si>
    <t xml:space="preserve">AIG Group</t>
  </si>
  <si>
    <t xml:space="preserve">AIG</t>
  </si>
  <si>
    <t xml:space="preserve">Công ty Cổ phần Thép Nam Kim</t>
  </si>
  <si>
    <t xml:space="preserve">Nam Kim</t>
  </si>
  <si>
    <t xml:space="preserve">NKG</t>
  </si>
  <si>
    <t xml:space="preserve">Tổng Công ty Cổ phần phát triển khu Công nghiệp</t>
  </si>
  <si>
    <t xml:space="preserve">Sonadezi</t>
  </si>
  <si>
    <t xml:space="preserve">SNZ</t>
  </si>
  <si>
    <t xml:space="preserve">Sonadezi, Dong Nai PC majority</t>
  </si>
  <si>
    <t xml:space="preserve">CTCP Tập đoàn Hoá chất Đức Giang</t>
  </si>
  <si>
    <t xml:space="preserve">Đức Giang Chem</t>
  </si>
  <si>
    <t xml:space="preserve">DGC</t>
  </si>
  <si>
    <t xml:space="preserve">Công ty Cổ phần Chứng khoán Thành phố Hồ Chí Minh</t>
  </si>
  <si>
    <t xml:space="preserve">HSC</t>
  </si>
  <si>
    <t xml:space="preserve">HCM</t>
  </si>
  <si>
    <t xml:space="preserve">Công ty TNHH Một thành viên - Tập đoàn Đường sắt Quốc gia Việt Nam</t>
  </si>
  <si>
    <t xml:space="preserve">Vietnam Railways</t>
  </si>
  <si>
    <t xml:space="preserve">VNRAILWAYS</t>
  </si>
  <si>
    <t xml:space="preserve">state railway corp</t>
  </si>
  <si>
    <t xml:space="preserve">Tổng Công ty Phát triển đô thị Kinh Bắc-CTCP</t>
  </si>
  <si>
    <t xml:space="preserve">Kinh Bac City</t>
  </si>
  <si>
    <t xml:space="preserve">KBC</t>
  </si>
  <si>
    <t xml:space="preserve">TỔNG CÔNG TY BƯU ĐIỆN VIỆT NAM</t>
  </si>
  <si>
    <t xml:space="preserve">VNPost</t>
  </si>
  <si>
    <t xml:space="preserve">VNPOST</t>
  </si>
  <si>
    <t xml:space="preserve">state postal corp</t>
  </si>
  <si>
    <t xml:space="preserve">Công ty Cổ phần Tập đoàn Công nghệ CMC</t>
  </si>
  <si>
    <t xml:space="preserve">CMC Group</t>
  </si>
  <si>
    <t xml:space="preserve">CMG</t>
  </si>
  <si>
    <t xml:space="preserve">Tập đoàn Đầu tư và Phát triển công nghiệp Becamex - CTCP</t>
  </si>
  <si>
    <t xml:space="preserve">Becamex IDC</t>
  </si>
  <si>
    <t xml:space="preserve">BCM</t>
  </si>
  <si>
    <t xml:space="preserve">Công ty cổ phần Chứng khoán Vietcap</t>
  </si>
  <si>
    <t xml:space="preserve">Vietcap Securities</t>
  </si>
  <si>
    <t xml:space="preserve">VCI</t>
  </si>
  <si>
    <t xml:space="preserve">Công ty Cổ phần Bán lẻ Kỹ thuật số FPT</t>
  </si>
  <si>
    <t xml:space="preserve">FPT Retail</t>
  </si>
  <si>
    <t xml:space="preserve">FRT</t>
  </si>
  <si>
    <t xml:space="preserve">Ngân hàng Thương mại cổ phần An Bình</t>
  </si>
  <si>
    <t xml:space="preserve">ABBank</t>
  </si>
  <si>
    <t xml:space="preserve">ABB</t>
  </si>
  <si>
    <t xml:space="preserve">CTCP Đầu tư Thương mại Xuất nhập khẩu Việt Phát</t>
  </si>
  <si>
    <t xml:space="preserve">Việt Phát</t>
  </si>
  <si>
    <t xml:space="preserve">VPG</t>
  </si>
  <si>
    <t xml:space="preserve">Viet Phat Group, listed</t>
  </si>
  <si>
    <t xml:space="preserve">CTCP Bia và nước giải khát Hạ Long</t>
  </si>
  <si>
    <t xml:space="preserve">Halobeco</t>
  </si>
  <si>
    <t xml:space="preserve">HLB</t>
  </si>
  <si>
    <t xml:space="preserve">CTCP Stavian Hoá chất</t>
  </si>
  <si>
    <t xml:space="preserve">STAVIAN GROUP</t>
  </si>
  <si>
    <t xml:space="preserve">STAVIAN</t>
  </si>
  <si>
    <t xml:space="preserve">Hóa chất, Nhựa</t>
  </si>
  <si>
    <t xml:space="preserve">HSBC Việt Nam</t>
  </si>
  <si>
    <t xml:space="preserve">HSBC</t>
  </si>
  <si>
    <t xml:space="preserve">HSBC (UK)</t>
  </si>
  <si>
    <t xml:space="preserve">Công ty cổ phần Tập đoàn Intimex</t>
  </si>
  <si>
    <t xml:space="preserve">Intimex Group</t>
  </si>
  <si>
    <t xml:space="preserve">INTIMEXG</t>
  </si>
  <si>
    <t xml:space="preserve">CTCP Thành Thành Công - Biên Hòa</t>
  </si>
  <si>
    <t xml:space="preserve">AgriS</t>
  </si>
  <si>
    <t xml:space="preserve">SBT</t>
  </si>
  <si>
    <t xml:space="preserve">Công ty cổ phần Đầu tư Dịch vụ Tài chính Hoàng Huy</t>
  </si>
  <si>
    <t xml:space="preserve">Hoang Huy Group</t>
  </si>
  <si>
    <t xml:space="preserve">TCH</t>
  </si>
  <si>
    <t xml:space="preserve">Công ty Cổ phần Tập đoàn Hà Đô</t>
  </si>
  <si>
    <t xml:space="preserve">Hà Đô Group</t>
  </si>
  <si>
    <t xml:space="preserve">HDG</t>
  </si>
  <si>
    <t xml:space="preserve">CTCP Chứng khoán Mirae Asset (Việt Nam)</t>
  </si>
  <si>
    <t xml:space="preserve">MAS</t>
  </si>
  <si>
    <t xml:space="preserve">MIRAEASSET</t>
  </si>
  <si>
    <t xml:space="preserve">Mirae Asset (KR)</t>
  </si>
  <si>
    <t xml:space="preserve">Tổng Công ty Sông Đà - Công ty cổ phần</t>
  </si>
  <si>
    <t xml:space="preserve">Sông Đà Corp</t>
  </si>
  <si>
    <t xml:space="preserve">SJG</t>
  </si>
  <si>
    <t xml:space="preserve">Xây dựng</t>
  </si>
  <si>
    <t xml:space="preserve">Song Da Corp, state majority</t>
  </si>
  <si>
    <t xml:space="preserve">Công ty Cổ phần Đầu tư và Xây dựng số 18</t>
  </si>
  <si>
    <t xml:space="preserve">Licogi 18</t>
  </si>
  <si>
    <t xml:space="preserve">L18</t>
  </si>
  <si>
    <t xml:space="preserve">Tổng Công ty lưu ký và bù trừ Chứng khoán Việt Nam</t>
  </si>
  <si>
    <t xml:space="preserve">VSDC</t>
  </si>
  <si>
    <t xml:space="preserve">state securities depository</t>
  </si>
  <si>
    <t xml:space="preserve">CTCP Tổng Công ty Tín Nghĩa</t>
  </si>
  <si>
    <t xml:space="preserve">Tinnghia Corp</t>
  </si>
  <si>
    <t xml:space="preserve">TID</t>
  </si>
  <si>
    <t xml:space="preserve">Bất động sản, Thương mại</t>
  </si>
  <si>
    <t xml:space="preserve">Công ty Cổ phần Tập đoàn Gemadept</t>
  </si>
  <si>
    <t xml:space="preserve">Gemadept</t>
  </si>
  <si>
    <t xml:space="preserve">GMD</t>
  </si>
  <si>
    <t xml:space="preserve">CTCP Bia Sài Gòn - Bến Tre</t>
  </si>
  <si>
    <t xml:space="preserve">Bia Sai Gon - Ben Tre</t>
  </si>
  <si>
    <t xml:space="preserve">BSGBT</t>
  </si>
  <si>
    <t xml:space="preserve">CTCP Tập đoàn Vàng bạc đá quý Doji</t>
  </si>
  <si>
    <t xml:space="preserve">DOJI</t>
  </si>
  <si>
    <t xml:space="preserve">Bán lẻ, Bất động sản</t>
  </si>
  <si>
    <t xml:space="preserve">Tổng Công ty Đầu tư và phát triển Nhà Hà Nội</t>
  </si>
  <si>
    <t xml:space="preserve">Handico</t>
  </si>
  <si>
    <t xml:space="preserve">HANDICO</t>
  </si>
  <si>
    <t xml:space="preserve">Hanoi PC housing corp</t>
  </si>
  <si>
    <t xml:space="preserve">Công ty TNHH Nhà nước MTV Yến sào Khánh Hòa</t>
  </si>
  <si>
    <t xml:space="preserve">Yến Sào Khánh Hòa</t>
  </si>
  <si>
    <t xml:space="preserve">YSKH</t>
  </si>
  <si>
    <t xml:space="preserve">Khanh Hoa PC 100%</t>
  </si>
  <si>
    <t xml:space="preserve">Công ty Cổ phần Thực phẩm Sữa TH</t>
  </si>
  <si>
    <t xml:space="preserve">TH Milk Food</t>
  </si>
  <si>
    <t xml:space="preserve">THMF</t>
  </si>
  <si>
    <t xml:space="preserve">Tập đoàn KIDO</t>
  </si>
  <si>
    <t xml:space="preserve">Kido Group</t>
  </si>
  <si>
    <t xml:space="preserve">KDC</t>
  </si>
  <si>
    <t xml:space="preserve">Công ty cổ phần Đầu tư F88</t>
  </si>
  <si>
    <t xml:space="preserve">F88 Investment</t>
  </si>
  <si>
    <t xml:space="preserve">F88</t>
  </si>
  <si>
    <t xml:space="preserve">Dịch vụ tài chính</t>
  </si>
  <si>
    <t xml:space="preserve">Công ty Cổ phần Nhựa Bình Minh</t>
  </si>
  <si>
    <t xml:space="preserve">Nhựa Bình Minh</t>
  </si>
  <si>
    <t xml:space="preserve">BMP</t>
  </si>
  <si>
    <t xml:space="preserve">Nawaplastic / SCG (TH) ~55%</t>
  </si>
  <si>
    <t xml:space="preserve">Tổng Công ty Licogi - Công ty Cổ phần</t>
  </si>
  <si>
    <t xml:space="preserve">Licogi</t>
  </si>
  <si>
    <t xml:space="preserve">LIC</t>
  </si>
  <si>
    <t xml:space="preserve">Công ty Cổ phần Nông sản thực phẩm Quảng Ngãi</t>
  </si>
  <si>
    <t xml:space="preserve">APFCO</t>
  </si>
  <si>
    <t xml:space="preserve">APF</t>
  </si>
  <si>
    <t xml:space="preserve">Công ty Cổ phần Tập đoàn Golden Gate</t>
  </si>
  <si>
    <t xml:space="preserve">Golden Gate Group</t>
  </si>
  <si>
    <t xml:space="preserve">GOLDENGATE</t>
  </si>
  <si>
    <t xml:space="preserve">Ngân hàng Thương mại cổ phần Kiên Long</t>
  </si>
  <si>
    <t xml:space="preserve">Kienlong Bank</t>
  </si>
  <si>
    <t xml:space="preserve">KLB</t>
  </si>
  <si>
    <t xml:space="preserve">Tổng Công ty Cơ khí Giao thông Vận tải Sài Gòn - TNHH MTV</t>
  </si>
  <si>
    <t xml:space="preserve">SAMCO</t>
  </si>
  <si>
    <t xml:space="preserve">HCMC state transport engineering corp</t>
  </si>
  <si>
    <t xml:space="preserve">Công ty Cổ phần Tập đoàn PAN</t>
  </si>
  <si>
    <t xml:space="preserve">The PAN Group</t>
  </si>
  <si>
    <t xml:space="preserve">PAN</t>
  </si>
  <si>
    <t xml:space="preserve">CTCP Dịch vụ Biển Tân Cảng</t>
  </si>
  <si>
    <t xml:space="preserve">Tân Cảng Offshore Services</t>
  </si>
  <si>
    <t xml:space="preserve">TOS</t>
  </si>
  <si>
    <t xml:space="preserve">Tan Cang Offshore, Saigon Newport (Ministry of Defence) majority</t>
  </si>
  <si>
    <t xml:space="preserve">Tổng Công ty Phát triển đường cao tốc Việt Nam</t>
  </si>
  <si>
    <t xml:space="preserve">VEC</t>
  </si>
  <si>
    <t xml:space="preserve">VECX</t>
  </si>
  <si>
    <t xml:space="preserve">Hạ tầng</t>
  </si>
  <si>
    <t xml:space="preserve">Vietnam Expressway Corp, state</t>
  </si>
  <si>
    <t xml:space="preserve">Công ty TNHH MTV Vàng bạc đá quý Sài Gòn</t>
  </si>
  <si>
    <t xml:space="preserve">SJCX</t>
  </si>
  <si>
    <t xml:space="preserve">Saigon Jewelry Company, HCMC state 100%</t>
  </si>
  <si>
    <t xml:space="preserve">Ngân hàng Thương mại cổ phần Bắc Á</t>
  </si>
  <si>
    <t xml:space="preserve">BacA Bank</t>
  </si>
  <si>
    <t xml:space="preserve">BAB</t>
  </si>
  <si>
    <t xml:space="preserve">Công ty Cổ phần Phú Tài</t>
  </si>
  <si>
    <t xml:space="preserve">Phú Tài</t>
  </si>
  <si>
    <t xml:space="preserve">PTB</t>
  </si>
  <si>
    <t xml:space="preserve">Công ty cổ phần FECON</t>
  </si>
  <si>
    <t xml:space="preserve">Fecon</t>
  </si>
  <si>
    <t xml:space="preserve">FCN</t>
  </si>
  <si>
    <t xml:space="preserve">CTCP Xây dựng và Sản xuất Vật liệu Xây dựng Biên Hòa</t>
  </si>
  <si>
    <t xml:space="preserve">BBCC</t>
  </si>
  <si>
    <t xml:space="preserve">VLB</t>
  </si>
  <si>
    <t xml:space="preserve">Tổng CTCP Xuất nhập khẩu và Xây dựng Việt Nam</t>
  </si>
  <si>
    <t xml:space="preserve">Vinaconex</t>
  </si>
  <si>
    <t xml:space="preserve">VCG</t>
  </si>
  <si>
    <t xml:space="preserve">Công ty TNHH MTV Nước sạch Hà Nội</t>
  </si>
  <si>
    <t xml:space="preserve">Hawaco</t>
  </si>
  <si>
    <t xml:space="preserve">HAWACO</t>
  </si>
  <si>
    <t xml:space="preserve">Hanoi Water, Hanoi PC 100%</t>
  </si>
  <si>
    <t xml:space="preserve">Công ty Cổ phần Sữa Quốc tế Lof</t>
  </si>
  <si>
    <t xml:space="preserve">LOF</t>
  </si>
  <si>
    <t xml:space="preserve">IDP</t>
  </si>
  <si>
    <t xml:space="preserve">Công ty cổ phần DatViet VAC Group Holdings</t>
  </si>
  <si>
    <t xml:space="preserve">DatViet VAC Group Holdings</t>
  </si>
  <si>
    <t xml:space="preserve">DVV</t>
  </si>
  <si>
    <t xml:space="preserve">Công ty Cổ phần Dược Hậu Giang</t>
  </si>
  <si>
    <t xml:space="preserve">DHG Pharma</t>
  </si>
  <si>
    <t xml:space="preserve">DHG</t>
  </si>
  <si>
    <t xml:space="preserve">Y tế</t>
  </si>
  <si>
    <t xml:space="preserve">Taisho Pharmaceutical (JP) ~51%</t>
  </si>
  <si>
    <t xml:space="preserve">Tổng Công ty Trực thăng Việt Nam - Công ty TNHH</t>
  </si>
  <si>
    <t xml:space="preserve">Vietnam Helicopters</t>
  </si>
  <si>
    <t xml:space="preserve">VNHELICOPTER</t>
  </si>
  <si>
    <t xml:space="preserve">Ministry of Defence</t>
  </si>
  <si>
    <t xml:space="preserve">Công ty cổ phần Ô tô TMT</t>
  </si>
  <si>
    <t xml:space="preserve">TMT Motor</t>
  </si>
  <si>
    <t xml:space="preserve">TMT</t>
  </si>
  <si>
    <t xml:space="preserve">CTCP Quốc tế Sơn Hà</t>
  </si>
  <si>
    <t xml:space="preserve">Sơn Hà</t>
  </si>
  <si>
    <t xml:space="preserve">SHI</t>
  </si>
  <si>
    <t xml:space="preserve">Hàng gia dụng</t>
  </si>
  <si>
    <t xml:space="preserve">Công ty Cổ phần Tập đoàn Thủy sản Minh Phú</t>
  </si>
  <si>
    <t xml:space="preserve">Minh Phú</t>
  </si>
  <si>
    <t xml:space="preserve">MPC</t>
  </si>
  <si>
    <t xml:space="preserve">CTCP – Tổng Công ty Nước – Môi trường Bình Dương</t>
  </si>
  <si>
    <t xml:space="preserve">BIWASE</t>
  </si>
  <si>
    <t xml:space="preserve">BWE</t>
  </si>
  <si>
    <t xml:space="preserve">Công ty Cổ phần Chứng khoán KIS Việt Nam</t>
  </si>
  <si>
    <t xml:space="preserve">KIS Việt Nam</t>
  </si>
  <si>
    <t xml:space="preserve">KIS</t>
  </si>
  <si>
    <t xml:space="preserve">Korea Investment &amp; Securities (KR)</t>
  </si>
  <si>
    <t xml:space="preserve">Công ty Cổ phần Xây dựng Coteccons</t>
  </si>
  <si>
    <t xml:space="preserve">Coteccons</t>
  </si>
  <si>
    <t xml:space="preserve">CTD</t>
  </si>
  <si>
    <t xml:space="preserve">Công ty Cổ phần Gỗ An Cường</t>
  </si>
  <si>
    <t xml:space="preserve">An Cường Wood</t>
  </si>
  <si>
    <t xml:space="preserve">ACG</t>
  </si>
  <si>
    <t xml:space="preserve">TOTAL</t>
  </si>
  <si>
    <t xml:space="preserve">Budget remittance by ownership, VNTAX 200, financial year 2025</t>
  </si>
  <si>
    <t xml:space="preserve">Firms</t>
  </si>
  <si>
    <t xml:space="preserve">Share of national revenue</t>
  </si>
  <si>
    <t xml:space="preserve">Average per firm</t>
  </si>
  <si>
    <t xml:space="preserve">State-owned (SOE)</t>
  </si>
  <si>
    <t xml:space="preserve">Domestic private</t>
  </si>
  <si>
    <t xml:space="preserve">Foreign-invested (FDI)</t>
  </si>
  <si>
    <t xml:space="preserve">TOTAL, VNTAX 200</t>
  </si>
  <si>
    <t xml:space="preserve">Memo: total state budget revenue, FY2025 (VND bn)</t>
  </si>
  <si>
    <t xml:space="preserve">Hardcoded input. Source: GSO/MoF FY2025 outturn, VND 2,650.1 trillion.</t>
  </si>
  <si>
    <t xml:space="preserve">State-owned</t>
  </si>
  <si>
    <t xml:space="preserve">Non-state (private + FDI)</t>
  </si>
  <si>
    <t xml:space="preserve">Budget remittance by sector and ownership, financial year 2025</t>
  </si>
  <si>
    <t xml:space="preserve">Total (VND bn)</t>
  </si>
  <si>
    <t xml:space="preserve">SOE share of sector</t>
  </si>
  <si>
    <t xml:space="preserve">Twenty-five largest contributors, financial year 2025</t>
  </si>
  <si>
    <t xml:space="preserve">Enterprise</t>
  </si>
  <si>
    <t xml:space="preserve">Cumulative share of list</t>
  </si>
  <si>
    <t xml:space="preserve">Composition of budget remittance by ownership</t>
  </si>
  <si>
    <t xml:space="preserve">Only firms whose component detail is published are included, so rows do not sum to the headline totals.</t>
  </si>
  <si>
    <t xml:space="preserve">VAT on imports</t>
  </si>
  <si>
    <t xml:space="preserve">Disclosed total</t>
  </si>
  <si>
    <t xml:space="preserve">STATE 100 (published 2026, payments made in financial year 2025)</t>
  </si>
  <si>
    <t xml:space="preserve">"Counts in group total" is FALSE for the 31 subsidiaries CafeF nets out to avoid double counting.</t>
  </si>
  <si>
    <t xml:space="preserve">Corporate group</t>
  </si>
  <si>
    <t xml:space="preserve">Role</t>
  </si>
  <si>
    <t xml:space="preserve">Counts in group total</t>
  </si>
  <si>
    <t xml:space="preserve">Budget payment</t>
  </si>
  <si>
    <t xml:space="preserve">Disclosed detail</t>
  </si>
  <si>
    <t xml:space="preserve">Oil &amp; gas</t>
  </si>
  <si>
    <t xml:space="preserve">Parent</t>
  </si>
  <si>
    <t xml:space="preserve">Fuel distribution</t>
  </si>
  <si>
    <t xml:space="preserve">Coal &amp; minerals</t>
  </si>
  <si>
    <t xml:space="preserve">—</t>
  </si>
  <si>
    <t xml:space="preserve">Standalone</t>
  </si>
  <si>
    <t xml:space="preserve">Power</t>
  </si>
  <si>
    <t xml:space="preserve">Công ty TNHH - Tổng Công ty Thăm dò Khai thác Dầu khí</t>
  </si>
  <si>
    <t xml:space="preserve">PVEP</t>
  </si>
  <si>
    <t xml:space="preserve">Subsidiary</t>
  </si>
  <si>
    <t xml:space="preserve">Công ty Cổ phần - Tổng Công ty Lọc Hóa dầu Việt Nam</t>
  </si>
  <si>
    <t xml:space="preserve">BSR</t>
  </si>
  <si>
    <t xml:space="preserve">Tổng Công ty Dầu Việt Nam - CTCP</t>
  </si>
  <si>
    <t xml:space="preserve">PV Oil</t>
  </si>
  <si>
    <t xml:space="preserve">OIL</t>
  </si>
  <si>
    <t xml:space="preserve">Tổng Công ty cổ phần Đầu tư Quốc tế Viettel</t>
  </si>
  <si>
    <t xml:space="preserve">Viettel Global</t>
  </si>
  <si>
    <t xml:space="preserve">VGI</t>
  </si>
  <si>
    <t xml:space="preserve">Tổng Công ty Khí Việt Nam-CTCP</t>
  </si>
  <si>
    <t xml:space="preserve">PV Gas</t>
  </si>
  <si>
    <t xml:space="preserve">GAS</t>
  </si>
  <si>
    <t xml:space="preserve">Công ty TNHH MTV Xổ số kiến thiết Thành phố Hồ Chí Minh</t>
  </si>
  <si>
    <t xml:space="preserve">HCM City Lottery</t>
  </si>
  <si>
    <t xml:space="preserve">XSHCM</t>
  </si>
  <si>
    <t xml:space="preserve">Tổng Công ty Phát điện 1</t>
  </si>
  <si>
    <t xml:space="preserve">EVN Genco1</t>
  </si>
  <si>
    <t xml:space="preserve">GENCO1</t>
  </si>
  <si>
    <t xml:space="preserve">Food &amp; beverage</t>
  </si>
  <si>
    <t xml:space="preserve">Công ty Cổ phần Viễn thông FPT</t>
  </si>
  <si>
    <t xml:space="preserve">FPT Telecom</t>
  </si>
  <si>
    <t xml:space="preserve">FOX</t>
  </si>
  <si>
    <t xml:space="preserve">Chemicals &amp; rubber</t>
  </si>
  <si>
    <t xml:space="preserve">Water</t>
  </si>
  <si>
    <t xml:space="preserve">Transport &amp; logistics</t>
  </si>
  <si>
    <t xml:space="preserve">Tổng Công ty Khoáng sản TKV - CTCP</t>
  </si>
  <si>
    <t xml:space="preserve">Vimico</t>
  </si>
  <si>
    <t xml:space="preserve">KSV</t>
  </si>
  <si>
    <t xml:space="preserve">Tổng Công ty Cổ phần Dịch vụ Kỹ thuật Dầu khí Việt Nam</t>
  </si>
  <si>
    <t xml:space="preserve">PTSC</t>
  </si>
  <si>
    <t xml:space="preserve">PVS</t>
  </si>
  <si>
    <t xml:space="preserve">Bao Viet</t>
  </si>
  <si>
    <t xml:space="preserve">Tổng công ty Phát điện 2 - Công ty cổ phần</t>
  </si>
  <si>
    <t xml:space="preserve">EVN Genco2</t>
  </si>
  <si>
    <t xml:space="preserve">GE2</t>
  </si>
  <si>
    <t xml:space="preserve">Tourism</t>
  </si>
  <si>
    <t xml:space="preserve">Tổng Công ty Điện lực Dầu khí Việt Nam - CTCP</t>
  </si>
  <si>
    <t xml:space="preserve">PV Power</t>
  </si>
  <si>
    <t xml:space="preserve">POW</t>
  </si>
  <si>
    <t xml:space="preserve">Tổng Công ty Phát điện 3 - Công ty cổ phần</t>
  </si>
  <si>
    <t xml:space="preserve">EVN Genco3</t>
  </si>
  <si>
    <t xml:space="preserve">PGV</t>
  </si>
  <si>
    <t xml:space="preserve">Tổng Công ty cổ phần Bưu chính Viettel</t>
  </si>
  <si>
    <t xml:space="preserve">Viettel Post</t>
  </si>
  <si>
    <t xml:space="preserve">VTP</t>
  </si>
  <si>
    <t xml:space="preserve">Tổng Công ty Cổ phần Khoan và Dịch vụ Khoan Dầu khí</t>
  </si>
  <si>
    <t xml:space="preserve">PV Drilling</t>
  </si>
  <si>
    <t xml:space="preserve">PVD</t>
  </si>
  <si>
    <t xml:space="preserve">Tổng Công ty Cổ phần Công trình Viettel</t>
  </si>
  <si>
    <t xml:space="preserve">Viettel Construction</t>
  </si>
  <si>
    <t xml:space="preserve">CTR</t>
  </si>
  <si>
    <t xml:space="preserve">Xây lắp</t>
  </si>
  <si>
    <t xml:space="preserve">Tổng Công ty Điện lực Miền Bắc</t>
  </si>
  <si>
    <t xml:space="preserve">EVN NPC</t>
  </si>
  <si>
    <t xml:space="preserve">EVNNPC</t>
  </si>
  <si>
    <t xml:space="preserve">Tổng Công ty Bảo Việt Nhân thọ</t>
  </si>
  <si>
    <t xml:space="preserve">BaoViet Life</t>
  </si>
  <si>
    <t xml:space="preserve">BVLIFE</t>
  </si>
  <si>
    <t xml:space="preserve">Công ty TNHH Nhôm Lâm Đồng - Vinacomin</t>
  </si>
  <si>
    <t xml:space="preserve">LDA</t>
  </si>
  <si>
    <t xml:space="preserve">LDAV</t>
  </si>
  <si>
    <t xml:space="preserve">Công ty cổ phần Chứng khoán MB</t>
  </si>
  <si>
    <t xml:space="preserve">MBS</t>
  </si>
  <si>
    <t xml:space="preserve">Tổng Công ty Hóa dầu Petrolimex-CTCP</t>
  </si>
  <si>
    <t xml:space="preserve">PLC</t>
  </si>
  <si>
    <t xml:space="preserve">Tổng Công ty Điện lực miền Trung</t>
  </si>
  <si>
    <t xml:space="preserve">EVN CPC</t>
  </si>
  <si>
    <t xml:space="preserve">EVNCPC</t>
  </si>
  <si>
    <t xml:space="preserve">CTCP - Tổng Công ty Phân bón Dầu khí Cà Mau</t>
  </si>
  <si>
    <t xml:space="preserve">Đạm Cà Mau</t>
  </si>
  <si>
    <t xml:space="preserve">DCM</t>
  </si>
  <si>
    <t xml:space="preserve">Tổng Công ty Điện lực Miền Nam</t>
  </si>
  <si>
    <t xml:space="preserve">EVN SPC</t>
  </si>
  <si>
    <t xml:space="preserve">EVNSPC</t>
  </si>
  <si>
    <t xml:space="preserve">Tổng công ty Công nghiệp mỏ Việt Bắc TKV - CTCP</t>
  </si>
  <si>
    <t xml:space="preserve">VVMI</t>
  </si>
  <si>
    <t xml:space="preserve">MVB</t>
  </si>
  <si>
    <t xml:space="preserve">Tổng công ty Cổ phần Vận tải Dầu khí</t>
  </si>
  <si>
    <t xml:space="preserve">PV Trans</t>
  </si>
  <si>
    <t xml:space="preserve">PVT</t>
  </si>
  <si>
    <t xml:space="preserve">Tổng Công ty Phân bón và Hóa chất Dầu khí-CTCP</t>
  </si>
  <si>
    <t xml:space="preserve">Đạm Phú Mỹ</t>
  </si>
  <si>
    <t xml:space="preserve">DPM</t>
  </si>
  <si>
    <t xml:space="preserve">Sở Giao dịch Chứng khoán Thành phố Hồ Chí Minh</t>
  </si>
  <si>
    <t xml:space="preserve">HOSE</t>
  </si>
  <si>
    <t xml:space="preserve">Tổng Công ty Cổ phần Bảo hiểm Ngân hàng Đầu tư và phát triển Việt Nam</t>
  </si>
  <si>
    <t xml:space="preserve">BIDV Insurance</t>
  </si>
  <si>
    <t xml:space="preserve">BIC</t>
  </si>
  <si>
    <t xml:space="preserve">Công ty TNHH MTV Apatit Việt Nam</t>
  </si>
  <si>
    <t xml:space="preserve">Apatit Vietnam</t>
  </si>
  <si>
    <t xml:space="preserve">APATIT</t>
  </si>
  <si>
    <t xml:space="preserve">Tổng Công ty Điện lực Thành phố Hà Nội</t>
  </si>
  <si>
    <t xml:space="preserve">EVN Hanoi</t>
  </si>
  <si>
    <t xml:space="preserve">EVNHANOI</t>
  </si>
  <si>
    <t xml:space="preserve">Công ty cổ phần Nhiên liệu bay Petrolimex</t>
  </si>
  <si>
    <t xml:space="preserve">Petrolimex Aviation</t>
  </si>
  <si>
    <t xml:space="preserve">PLXAVI</t>
  </si>
  <si>
    <t xml:space="preserve">TOTAL, as ranked</t>
  </si>
  <si>
    <t xml:space="preserve">Less: 31 subsidiaries netted out</t>
  </si>
  <si>
    <t xml:space="preserve">STATE 100 consolidated contribution</t>
  </si>
  <si>
    <t xml:space="preserve">Share of FY2025 state budget revenue</t>
  </si>
  <si>
    <t xml:space="preserve">CafeF published: VND 425,800 bn, about 16% of national revenue. Difference is rounding.</t>
  </si>
  <si>
    <t xml:space="preserve">Corporate groups inside STATE 100</t>
  </si>
  <si>
    <t xml:space="preserve">Entries ranked</t>
  </si>
  <si>
    <t xml:space="preserve">Parent payment</t>
  </si>
  <si>
    <t xml:space="preserve">Subsidiaries ranked (memo)</t>
  </si>
  <si>
    <t xml:space="preserve">Share of STATE 100</t>
  </si>
  <si>
    <t xml:space="preserve">Groups combined</t>
  </si>
  <si>
    <t xml:space="preserve">Ungrouped, single-entity SOEs</t>
  </si>
  <si>
    <t xml:space="preserve">Financial year 2024 against financial year 2025</t>
  </si>
  <si>
    <t xml:space="preserve">FY2024 from the VNTAX 200 list published in 2025; FY2025 from the list published in 2026. Same 200-firm cut-off, different constituents.</t>
  </si>
  <si>
    <t xml:space="preserve">FY2024 firms</t>
  </si>
  <si>
    <t xml:space="preserve">FY2024 (VND bn)</t>
  </si>
  <si>
    <t xml:space="preserve">FY2024 share</t>
  </si>
  <si>
    <t xml:space="preserve">FY2025 firms</t>
  </si>
  <si>
    <t xml:space="preserve">FY2025 (VND bn)</t>
  </si>
  <si>
    <t xml:space="preserve">FY2025 share</t>
  </si>
  <si>
    <t xml:space="preserve">Change</t>
  </si>
  <si>
    <t xml:space="preserve">The state share falls from 54% to 45% between the two years. Almost all of the swing is one firm: Vingroup goes</t>
  </si>
  <si>
    <t xml:space="preserve">from VND 56,163 bn to VND 148,773 bn, of which VND 93,813 bn is land and land rent.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</si>
</sst>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b val="true"/>
      <sz val="10"/>
      <color rgb="FF0F6E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FF0E4"/>
        <bgColor rgb="FFDCE6F1"/>
      </patternFill>
    </fill>
    <fill>
      <patternFill patternType="solid">
        <fgColor rgb="FFDCE6F1"/>
        <bgColor rgb="FFDFF0E4"/>
      </patternFill>
    </fill>
    <fill>
      <patternFill patternType="solid">
        <fgColor rgb="FFFDECD2"/>
        <bgColor rgb="FFFCE4E4"/>
      </patternFill>
    </fill>
    <fill>
      <patternFill patternType="solid">
        <fgColor rgb="FFEFF1EE"/>
        <bgColor rgb="FFDFF0E4"/>
      </patternFill>
    </fill>
    <fill>
      <patternFill patternType="solid">
        <fgColor rgb="FFFCE4E4"/>
        <bgColor rgb="FFFDEC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FF0E4"/>
          <bgColor rgb="FF000000"/>
        </patternFill>
      </fill>
    </dxf>
    <dxf>
      <fill>
        <patternFill patternType="solid">
          <fgColor rgb="FFFDECD2"/>
          <bgColor rgb="FF000000"/>
        </patternFill>
      </fill>
    </dxf>
    <dxf>
      <fill>
        <patternFill patternType="solid">
          <fgColor rgb="FFEFF1EE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D9D9D9"/>
      <rgbColor rgb="FF878787"/>
      <rgbColor rgb="FF9999FF"/>
      <rgbColor rgb="FFC0504D"/>
      <rgbColor rgb="FFFDECD2"/>
      <rgbColor rgb="FFDCE6F1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1EE"/>
      <rgbColor rgb="FFDFF0E4"/>
      <rgbColor rgb="FFFFFF99"/>
      <rgbColor rgb="FF99CCFF"/>
      <rgbColor rgb="FFFF99CC"/>
      <rgbColor rgb="FFCC99FF"/>
      <rgbColor rgb="FFFCE4E4"/>
      <rgbColor rgb="FF4F81BD"/>
      <rgbColor rgb="FF4BACC6"/>
      <rgbColor rgb="FF9BBB59"/>
      <rgbColor rgb="FFFFCC00"/>
      <rgbColor rgb="FFFF9900"/>
      <rgbColor rgb="FFFF6600"/>
      <rgbColor rgb="FF6B7280"/>
      <rgbColor rgb="FF8064A2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remittance by ownership (VND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'By ownership'!C3</c:f>
              <c:strCache>
                <c:ptCount val="1"/>
                <c:pt idx="0">
                  <c:v>Budget payment (VND bn)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'By ownership'!$A$4:$A$6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'By ownership'!$C$4:$C$6</c:f>
              <c:numCache>
                <c:formatCode>#,##0;\(#,##0\);\-</c:formatCode>
                <c:ptCount val="3"/>
                <c:pt idx="0">
                  <c:v>445558</c:v>
                </c:pt>
                <c:pt idx="1">
                  <c:v>390311</c:v>
                </c:pt>
                <c:pt idx="2">
                  <c:v>153385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sectors by remittance, split by ownership (VND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'By sector'!C3</c:f>
              <c:strCache>
                <c:ptCount val="1"/>
                <c:pt idx="0">
                  <c:v>SOE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sector'!$A$4:$A$15</c:f>
              <c:strCache>
                <c:ptCount val="12"/>
                <c:pt idx="0">
                  <c:v>Real estate &amp; construction</c:v>
                </c:pt>
                <c:pt idx="1">
                  <c:v>Oil, gas &amp; fuels</c:v>
                </c:pt>
                <c:pt idx="2">
                  <c:v>Banking</c:v>
                </c:pt>
                <c:pt idx="3">
                  <c:v>Automotive</c:v>
                </c:pt>
                <c:pt idx="4">
                  <c:v>Food, beverage &amp; brewing</c:v>
                </c:pt>
                <c:pt idx="5">
                  <c:v>Technology &amp; telecom</c:v>
                </c:pt>
                <c:pt idx="6">
                  <c:v>Lottery</c:v>
                </c:pt>
                <c:pt idx="7">
                  <c:v>Power &amp; electrical</c:v>
                </c:pt>
                <c:pt idx="8">
                  <c:v>Tobacco</c:v>
                </c:pt>
                <c:pt idx="9">
                  <c:v>Coal &amp; mining</c:v>
                </c:pt>
                <c:pt idx="10">
                  <c:v>Finance &amp; investment</c:v>
                </c:pt>
                <c:pt idx="11">
                  <c:v>Steel &amp; building materials</c:v>
                </c:pt>
              </c:strCache>
            </c:strRef>
          </c:cat>
          <c:val>
            <c:numRef>
              <c:f>'By sector'!$C$4:$C$15</c:f>
              <c:numCache>
                <c:formatCode>#,##0;\(#,##0\);\-</c:formatCode>
                <c:ptCount val="12"/>
                <c:pt idx="0">
                  <c:v>5228</c:v>
                </c:pt>
                <c:pt idx="1">
                  <c:v>145800</c:v>
                </c:pt>
                <c:pt idx="2">
                  <c:v>51783</c:v>
                </c:pt>
                <c:pt idx="3">
                  <c:v>468</c:v>
                </c:pt>
                <c:pt idx="4">
                  <c:v>4693</c:v>
                </c:pt>
                <c:pt idx="5">
                  <c:v>49868</c:v>
                </c:pt>
                <c:pt idx="6">
                  <c:v>53499</c:v>
                </c:pt>
                <c:pt idx="7">
                  <c:v>20891</c:v>
                </c:pt>
                <c:pt idx="8">
                  <c:v>31720</c:v>
                </c:pt>
                <c:pt idx="9">
                  <c:v>26475</c:v>
                </c:pt>
                <c:pt idx="10">
                  <c:v>19083</c:v>
                </c:pt>
                <c:pt idx="11">
                  <c:v>2037</c:v>
                </c:pt>
              </c:numCache>
            </c:numRef>
          </c:val>
        </c:ser>
        <c:ser>
          <c:idx val="1"/>
          <c:order val="1"/>
          <c:tx>
            <c:strRef>
              <c:f>'By sector'!D3</c:f>
              <c:strCache>
                <c:ptCount val="1"/>
                <c:pt idx="0">
                  <c:v>Domestic private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sector'!$A$4:$A$15</c:f>
              <c:strCache>
                <c:ptCount val="12"/>
                <c:pt idx="0">
                  <c:v>Real estate &amp; construction</c:v>
                </c:pt>
                <c:pt idx="1">
                  <c:v>Oil, gas &amp; fuels</c:v>
                </c:pt>
                <c:pt idx="2">
                  <c:v>Banking</c:v>
                </c:pt>
                <c:pt idx="3">
                  <c:v>Automotive</c:v>
                </c:pt>
                <c:pt idx="4">
                  <c:v>Food, beverage &amp; brewing</c:v>
                </c:pt>
                <c:pt idx="5">
                  <c:v>Technology &amp; telecom</c:v>
                </c:pt>
                <c:pt idx="6">
                  <c:v>Lottery</c:v>
                </c:pt>
                <c:pt idx="7">
                  <c:v>Power &amp; electrical</c:v>
                </c:pt>
                <c:pt idx="8">
                  <c:v>Tobacco</c:v>
                </c:pt>
                <c:pt idx="9">
                  <c:v>Coal &amp; mining</c:v>
                </c:pt>
                <c:pt idx="10">
                  <c:v>Finance &amp; investment</c:v>
                </c:pt>
                <c:pt idx="11">
                  <c:v>Steel &amp; building materials</c:v>
                </c:pt>
              </c:strCache>
            </c:strRef>
          </c:cat>
          <c:val>
            <c:numRef>
              <c:f>'By sector'!$D$4:$D$15</c:f>
              <c:numCache>
                <c:formatCode>#,##0;\(#,##0\);\-</c:formatCode>
                <c:ptCount val="12"/>
                <c:pt idx="0">
                  <c:v>213029</c:v>
                </c:pt>
                <c:pt idx="1">
                  <c:v>3468</c:v>
                </c:pt>
                <c:pt idx="2">
                  <c:v>52126</c:v>
                </c:pt>
                <c:pt idx="3">
                  <c:v>39684</c:v>
                </c:pt>
                <c:pt idx="4">
                  <c:v>16105</c:v>
                </c:pt>
                <c:pt idx="5">
                  <c:v>14363</c:v>
                </c:pt>
                <c:pt idx="6">
                  <c:v>0</c:v>
                </c:pt>
                <c:pt idx="7">
                  <c:v>11459</c:v>
                </c:pt>
                <c:pt idx="8">
                  <c:v>0</c:v>
                </c:pt>
                <c:pt idx="9">
                  <c:v>748</c:v>
                </c:pt>
                <c:pt idx="10">
                  <c:v>496</c:v>
                </c:pt>
                <c:pt idx="11">
                  <c:v>16315</c:v>
                </c:pt>
              </c:numCache>
            </c:numRef>
          </c:val>
        </c:ser>
        <c:ser>
          <c:idx val="2"/>
          <c:order val="2"/>
          <c:tx>
            <c:strRef>
              <c:f>'By sector'!E3</c:f>
              <c:strCache>
                <c:ptCount val="1"/>
                <c:pt idx="0">
                  <c:v>FDI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sector'!$A$4:$A$15</c:f>
              <c:strCache>
                <c:ptCount val="12"/>
                <c:pt idx="0">
                  <c:v>Real estate &amp; construction</c:v>
                </c:pt>
                <c:pt idx="1">
                  <c:v>Oil, gas &amp; fuels</c:v>
                </c:pt>
                <c:pt idx="2">
                  <c:v>Banking</c:v>
                </c:pt>
                <c:pt idx="3">
                  <c:v>Automotive</c:v>
                </c:pt>
                <c:pt idx="4">
                  <c:v>Food, beverage &amp; brewing</c:v>
                </c:pt>
                <c:pt idx="5">
                  <c:v>Technology &amp; telecom</c:v>
                </c:pt>
                <c:pt idx="6">
                  <c:v>Lottery</c:v>
                </c:pt>
                <c:pt idx="7">
                  <c:v>Power &amp; electrical</c:v>
                </c:pt>
                <c:pt idx="8">
                  <c:v>Tobacco</c:v>
                </c:pt>
                <c:pt idx="9">
                  <c:v>Coal &amp; mining</c:v>
                </c:pt>
                <c:pt idx="10">
                  <c:v>Finance &amp; investment</c:v>
                </c:pt>
                <c:pt idx="11">
                  <c:v>Steel &amp; building materials</c:v>
                </c:pt>
              </c:strCache>
            </c:strRef>
          </c:cat>
          <c:val>
            <c:numRef>
              <c:f>'By sector'!$E$4:$E$15</c:f>
              <c:numCache>
                <c:formatCode>#,##0;\(#,##0\);\-</c:formatCode>
                <c:ptCount val="12"/>
                <c:pt idx="0">
                  <c:v>16577</c:v>
                </c:pt>
                <c:pt idx="1">
                  <c:v>23000</c:v>
                </c:pt>
                <c:pt idx="2">
                  <c:v>694</c:v>
                </c:pt>
                <c:pt idx="3">
                  <c:v>53180</c:v>
                </c:pt>
                <c:pt idx="4">
                  <c:v>45917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488</c:v>
                </c:pt>
              </c:numCache>
            </c:numRef>
          </c:val>
        </c:ser>
        <c:gapWidth val="150"/>
        <c:overlap val="100"/>
        <c:axId val="35754640"/>
        <c:axId val="30174983"/>
      </c:barChart>
      <c:catAx>
        <c:axId val="3575464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VND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74983"/>
        <c:crosses val="autoZero"/>
        <c:auto val="1"/>
        <c:lblAlgn val="ctr"/>
        <c:lblOffset val="100"/>
        <c:noMultiLvlLbl val="0"/>
      </c:catAx>
      <c:valAx>
        <c:axId val="301749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54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 composition of disclosed remittance, by ownership (VND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'Tax mix'!B4</c:f>
              <c:strCache>
                <c:ptCount val="1"/>
                <c:pt idx="0">
                  <c:v>VAT 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mix'!$A$5:$A$7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'Tax mix'!$B$5:$B$7</c:f>
              <c:numCache>
                <c:formatCode>#,##0;\(#,##0\);\-</c:formatCode>
                <c:ptCount val="3"/>
                <c:pt idx="0">
                  <c:v>60412</c:v>
                </c:pt>
                <c:pt idx="1">
                  <c:v>81885</c:v>
                </c:pt>
                <c:pt idx="2">
                  <c:v>3337</c:v>
                </c:pt>
              </c:numCache>
            </c:numRef>
          </c:val>
        </c:ser>
        <c:ser>
          <c:idx val="1"/>
          <c:order val="1"/>
          <c:tx>
            <c:strRef>
              <c:f>'Tax mix'!C4</c:f>
              <c:strCache>
                <c:ptCount val="1"/>
                <c:pt idx="0">
                  <c:v>VAT on imports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mix'!$A$5:$A$7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'Tax mix'!$C$5:$C$7</c:f>
              <c:numCache>
                <c:formatCode>#,##0;\(#,##0\);\-</c:formatCode>
                <c:ptCount val="3"/>
                <c:pt idx="0">
                  <c:v>17575</c:v>
                </c:pt>
                <c:pt idx="1">
                  <c:v>12381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'Tax mix'!D4</c:f>
              <c:strCache>
                <c:ptCount val="1"/>
                <c:pt idx="0">
                  <c:v>Corporate income tax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mix'!$A$5:$A$7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'Tax mix'!$D$5:$D$7</c:f>
              <c:numCache>
                <c:formatCode>#,##0;\(#,##0\);\-</c:formatCode>
                <c:ptCount val="3"/>
                <c:pt idx="0">
                  <c:v>68850</c:v>
                </c:pt>
                <c:pt idx="1">
                  <c:v>73890</c:v>
                </c:pt>
                <c:pt idx="2">
                  <c:v>5045</c:v>
                </c:pt>
              </c:numCache>
            </c:numRef>
          </c:val>
        </c:ser>
        <c:ser>
          <c:idx val="3"/>
          <c:order val="3"/>
          <c:tx>
            <c:strRef>
              <c:f>'Tax mix'!E4</c:f>
              <c:strCache>
                <c:ptCount val="1"/>
                <c:pt idx="0">
                  <c:v>Personal income tax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mix'!$A$5:$A$7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'Tax mix'!$E$5:$E$7</c:f>
              <c:numCache>
                <c:formatCode>#,##0;\(#,##0\);\-</c:formatCode>
                <c:ptCount val="3"/>
                <c:pt idx="0">
                  <c:v>7586</c:v>
                </c:pt>
                <c:pt idx="1">
                  <c:v>17512</c:v>
                </c:pt>
                <c:pt idx="2">
                  <c:v>641</c:v>
                </c:pt>
              </c:numCache>
            </c:numRef>
          </c:val>
        </c:ser>
        <c:ser>
          <c:idx val="4"/>
          <c:order val="4"/>
          <c:tx>
            <c:strRef>
              <c:f>'Tax mix'!F4</c:f>
              <c:strCache>
                <c:ptCount val="1"/>
                <c:pt idx="0">
                  <c:v>Land &amp; land rent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mix'!$A$5:$A$7</c:f>
              <c:strCache>
                <c:ptCount val="3"/>
                <c:pt idx="0">
                  <c:v>State-owned (SOE)</c:v>
                </c:pt>
                <c:pt idx="1">
                  <c:v>Domestic private</c:v>
                </c:pt>
                <c:pt idx="2">
                  <c:v>Foreign-invested (FDI)</c:v>
                </c:pt>
              </c:strCache>
            </c:strRef>
          </c:cat>
          <c:val>
            <c:numRef>
              <c:f>'Tax mix'!$F$5:$F$7</c:f>
              <c:numCache>
                <c:formatCode>#,##0;\(#,##0\);\-</c:formatCode>
                <c:ptCount val="3"/>
                <c:pt idx="0">
                  <c:v>4357</c:v>
                </c:pt>
                <c:pt idx="1">
                  <c:v>107480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75384651"/>
        <c:axId val="59692903"/>
      </c:barChart>
      <c:catAx>
        <c:axId val="75384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92903"/>
        <c:crosses val="autoZero"/>
        <c:auto val="1"/>
        <c:lblAlgn val="ctr"/>
        <c:lblOffset val="100"/>
        <c:noMultiLvlLbl val="0"/>
      </c:catAx>
      <c:valAx>
        <c:axId val="59692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VND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84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Parent payment by corporate group (VND 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'STATE 100 groups'!C4</c:f>
              <c:strCache>
                <c:ptCount val="1"/>
                <c:pt idx="0">
                  <c:v>Parent payment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100 groups'!$A$5:$A$15</c:f>
              <c:strCache>
                <c:ptCount val="11"/>
                <c:pt idx="0">
                  <c:v>PetroVietnam</c:v>
                </c:pt>
                <c:pt idx="1">
                  <c:v>Viettel</c:v>
                </c:pt>
                <c:pt idx="2">
                  <c:v>Petrolimex</c:v>
                </c:pt>
                <c:pt idx="3">
                  <c:v>Vinacomin</c:v>
                </c:pt>
                <c:pt idx="4">
                  <c:v>EVN</c:v>
                </c:pt>
                <c:pt idx="5">
                  <c:v>BIDV</c:v>
                </c:pt>
                <c:pt idx="6">
                  <c:v>MB</c:v>
                </c:pt>
                <c:pt idx="7">
                  <c:v>HFIC</c:v>
                </c:pt>
                <c:pt idx="8">
                  <c:v>Vietnam Exchange</c:v>
                </c:pt>
                <c:pt idx="9">
                  <c:v>Vinachem</c:v>
                </c:pt>
                <c:pt idx="10">
                  <c:v>Bao Viet</c:v>
                </c:pt>
              </c:strCache>
            </c:strRef>
          </c:cat>
          <c:val>
            <c:numRef>
              <c:f>'STATE 100 groups'!$C$5:$C$15</c:f>
              <c:numCache>
                <c:formatCode>#,##0;\(#,##0\);\-</c:formatCode>
                <c:ptCount val="11"/>
                <c:pt idx="0">
                  <c:v>90991</c:v>
                </c:pt>
                <c:pt idx="1">
                  <c:v>42290</c:v>
                </c:pt>
                <c:pt idx="2">
                  <c:v>30575</c:v>
                </c:pt>
                <c:pt idx="3">
                  <c:v>24031</c:v>
                </c:pt>
                <c:pt idx="4">
                  <c:v>20891</c:v>
                </c:pt>
                <c:pt idx="5">
                  <c:v>11374</c:v>
                </c:pt>
                <c:pt idx="6">
                  <c:v>10004</c:v>
                </c:pt>
                <c:pt idx="7">
                  <c:v>6794</c:v>
                </c:pt>
                <c:pt idx="8">
                  <c:v>3283</c:v>
                </c:pt>
                <c:pt idx="9">
                  <c:v>2268</c:v>
                </c:pt>
                <c:pt idx="10">
                  <c:v>1817</c:v>
                </c:pt>
              </c:numCache>
            </c:numRef>
          </c:val>
        </c:ser>
        <c:gapWidth val="150"/>
        <c:overlap val="0"/>
        <c:axId val="59725866"/>
        <c:axId val="20633894"/>
      </c:barChart>
      <c:catAx>
        <c:axId val="59725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33894"/>
        <c:crosses val="autoZero"/>
        <c:auto val="1"/>
        <c:lblAlgn val="ctr"/>
        <c:lblOffset val="100"/>
        <c:noMultiLvlLbl val="0"/>
      </c:catAx>
      <c:valAx>
        <c:axId val="20633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25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176040</xdr:rowOff>
    </xdr:from>
    <xdr:to>
      <xdr:col>3</xdr:col>
      <xdr:colOff>662040</xdr:colOff>
      <xdr:row>31</xdr:row>
      <xdr:rowOff>177120</xdr:rowOff>
    </xdr:to>
    <xdr:graphicFrame>
      <xdr:nvGraphicFramePr>
        <xdr:cNvPr id="0" name="Chart 1"/>
        <xdr:cNvGraphicFramePr/>
      </xdr:nvGraphicFramePr>
      <xdr:xfrm>
        <a:off x="0" y="30672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176040</xdr:rowOff>
    </xdr:from>
    <xdr:to>
      <xdr:col>7</xdr:col>
      <xdr:colOff>1035000</xdr:colOff>
      <xdr:row>56</xdr:row>
      <xdr:rowOff>51120</xdr:rowOff>
    </xdr:to>
    <xdr:graphicFrame>
      <xdr:nvGraphicFramePr>
        <xdr:cNvPr id="1" name="Chart 1"/>
        <xdr:cNvGraphicFramePr/>
      </xdr:nvGraphicFramePr>
      <xdr:xfrm>
        <a:off x="0" y="5543640"/>
        <a:ext cx="89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176040</xdr:rowOff>
    </xdr:from>
    <xdr:to>
      <xdr:col>5</xdr:col>
      <xdr:colOff>503640</xdr:colOff>
      <xdr:row>30</xdr:row>
      <xdr:rowOff>135000</xdr:rowOff>
    </xdr:to>
    <xdr:graphicFrame>
      <xdr:nvGraphicFramePr>
        <xdr:cNvPr id="2" name="Chart 1"/>
        <xdr:cNvGraphicFramePr/>
      </xdr:nvGraphicFramePr>
      <xdr:xfrm>
        <a:off x="0" y="21146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175680</xdr:rowOff>
    </xdr:from>
    <xdr:to>
      <xdr:col>4</xdr:col>
      <xdr:colOff>1059840</xdr:colOff>
      <xdr:row>39</xdr:row>
      <xdr:rowOff>135000</xdr:rowOff>
    </xdr:to>
    <xdr:graphicFrame>
      <xdr:nvGraphicFramePr>
        <xdr:cNvPr id="3" name="Chart 1"/>
        <xdr:cNvGraphicFramePr/>
      </xdr:nvGraphicFramePr>
      <xdr:xfrm>
        <a:off x="0" y="382896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6"/>
  </cols>
  <sheetData>
    <row r="2" customFormat="false" ht="18.5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 t="s">
        <v>24</v>
      </c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3" t="s">
        <v>26</v>
      </c>
    </row>
    <row r="34" customFormat="false" ht="15" hidden="false" customHeight="false" outlineLevel="0" collapsed="false">
      <c r="B34" s="3" t="s">
        <v>27</v>
      </c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3" t="s">
        <v>29</v>
      </c>
    </row>
    <row r="38" customFormat="false" ht="15" hidden="false" customHeight="false" outlineLevel="0" collapsed="false">
      <c r="B38" s="2" t="s">
        <v>30</v>
      </c>
    </row>
    <row r="39" customFormat="false" ht="15" hidden="false" customHeight="false" outlineLevel="0" collapsed="false">
      <c r="B39" s="3" t="s">
        <v>31</v>
      </c>
    </row>
    <row r="40" customFormat="false" ht="15" hidden="false" customHeight="false" outlineLevel="0" collapsed="false">
      <c r="B40" s="3" t="s">
        <v>32</v>
      </c>
    </row>
    <row r="41" customFormat="false" ht="15" hidden="false" customHeight="false" outlineLevel="0" collapsed="false">
      <c r="B41" s="3" t="s">
        <v>33</v>
      </c>
    </row>
    <row r="43" customFormat="false" ht="15" hidden="false" customHeight="false" outlineLevel="0" collapsed="false">
      <c r="B43" s="2" t="s">
        <v>34</v>
      </c>
    </row>
    <row r="44" customFormat="false" ht="15" hidden="false" customHeight="false" outlineLevel="0" collapsed="false">
      <c r="B44" s="3" t="s">
        <v>35</v>
      </c>
    </row>
    <row r="45" customFormat="false" ht="15" hidden="false" customHeight="false" outlineLevel="0" collapsed="false">
      <c r="B45" s="3" t="s">
        <v>36</v>
      </c>
    </row>
    <row r="46" customFormat="false" ht="15" hidden="false" customHeight="false" outlineLevel="0" collapsed="false">
      <c r="B46" s="3" t="s">
        <v>37</v>
      </c>
    </row>
    <row r="47" customFormat="false" ht="15" hidden="false" customHeight="false" outlineLevel="0" collapsed="false">
      <c r="B47" s="3" t="s">
        <v>38</v>
      </c>
    </row>
    <row r="48" customFormat="false" ht="15" hidden="false" customHeight="false" outlineLevel="0" collapsed="false">
      <c r="B48" s="2" t="s">
        <v>39</v>
      </c>
    </row>
    <row r="49" customFormat="false" ht="15" hidden="false" customHeight="false" outlineLevel="0" collapsed="false">
      <c r="B49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4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5" min="14" style="0" width="14"/>
  </cols>
  <sheetData>
    <row r="1" customFormat="false" ht="31.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</row>
    <row r="2" customFormat="false" ht="15" hidden="false" customHeight="false" outlineLevel="0" collapsed="false">
      <c r="A2" s="5" t="n">
        <v>1</v>
      </c>
      <c r="B2" s="5" t="s">
        <v>56</v>
      </c>
      <c r="C2" s="5" t="s">
        <v>57</v>
      </c>
      <c r="D2" s="5" t="s">
        <v>58</v>
      </c>
      <c r="E2" s="6" t="s">
        <v>59</v>
      </c>
      <c r="F2" s="5" t="s">
        <v>60</v>
      </c>
      <c r="G2" s="5" t="s">
        <v>61</v>
      </c>
      <c r="H2" s="7" t="n">
        <v>148773</v>
      </c>
      <c r="I2" s="8" t="n">
        <f aca="false">H2/$H$202</f>
        <v>0.150389081065126</v>
      </c>
      <c r="J2" s="5" t="s">
        <v>62</v>
      </c>
      <c r="K2" s="7" t="n">
        <v>23183</v>
      </c>
      <c r="L2" s="7"/>
      <c r="M2" s="7" t="n">
        <v>17043</v>
      </c>
      <c r="N2" s="7" t="n">
        <v>5057</v>
      </c>
      <c r="O2" s="7" t="n">
        <v>93813</v>
      </c>
    </row>
    <row r="3" customFormat="false" ht="15" hidden="false" customHeight="false" outlineLevel="0" collapsed="false">
      <c r="A3" s="5" t="n">
        <v>2</v>
      </c>
      <c r="B3" s="5" t="s">
        <v>63</v>
      </c>
      <c r="C3" s="5" t="s">
        <v>64</v>
      </c>
      <c r="D3" s="5" t="s">
        <v>65</v>
      </c>
      <c r="E3" s="9" t="s">
        <v>66</v>
      </c>
      <c r="F3" s="5" t="s">
        <v>67</v>
      </c>
      <c r="G3" s="5" t="s">
        <v>68</v>
      </c>
      <c r="H3" s="7" t="n">
        <v>90991</v>
      </c>
      <c r="I3" s="8" t="n">
        <f aca="false">H3/$H$202</f>
        <v>0.0919794107478969</v>
      </c>
      <c r="J3" s="5" t="s">
        <v>69</v>
      </c>
      <c r="K3" s="7" t="n">
        <v>12585</v>
      </c>
      <c r="L3" s="7" t="n">
        <v>8648</v>
      </c>
      <c r="M3" s="7" t="n">
        <v>14599</v>
      </c>
      <c r="N3" s="7" t="n">
        <v>1865</v>
      </c>
      <c r="O3" s="7"/>
    </row>
    <row r="4" customFormat="false" ht="15" hidden="false" customHeight="false" outlineLevel="0" collapsed="false">
      <c r="A4" s="5" t="n">
        <v>3</v>
      </c>
      <c r="B4" s="5" t="s">
        <v>70</v>
      </c>
      <c r="C4" s="5" t="s">
        <v>71</v>
      </c>
      <c r="D4" s="5" t="s">
        <v>72</v>
      </c>
      <c r="E4" s="9" t="s">
        <v>66</v>
      </c>
      <c r="F4" s="5" t="s">
        <v>73</v>
      </c>
      <c r="G4" s="5" t="s">
        <v>74</v>
      </c>
      <c r="H4" s="7" t="n">
        <v>42290</v>
      </c>
      <c r="I4" s="8" t="n">
        <f aca="false">H4/$H$202</f>
        <v>0.0427493848900283</v>
      </c>
      <c r="J4" s="5" t="s">
        <v>69</v>
      </c>
      <c r="K4" s="7"/>
      <c r="L4" s="7"/>
      <c r="M4" s="7"/>
      <c r="N4" s="7"/>
      <c r="O4" s="7"/>
    </row>
    <row r="5" customFormat="false" ht="15" hidden="false" customHeight="false" outlineLevel="0" collapsed="false">
      <c r="A5" s="5" t="n">
        <v>4</v>
      </c>
      <c r="B5" s="5" t="s">
        <v>75</v>
      </c>
      <c r="C5" s="5" t="s">
        <v>76</v>
      </c>
      <c r="D5" s="5" t="s">
        <v>77</v>
      </c>
      <c r="E5" s="9" t="s">
        <v>66</v>
      </c>
      <c r="F5" s="5" t="s">
        <v>67</v>
      </c>
      <c r="G5" s="5" t="s">
        <v>78</v>
      </c>
      <c r="H5" s="7" t="n">
        <v>30575</v>
      </c>
      <c r="I5" s="8" t="n">
        <f aca="false">H5/$H$202</f>
        <v>0.0309071279974607</v>
      </c>
      <c r="J5" s="5" t="s">
        <v>69</v>
      </c>
      <c r="K5" s="7" t="n">
        <v>3055</v>
      </c>
      <c r="L5" s="7" t="n">
        <v>6397</v>
      </c>
      <c r="M5" s="7" t="n">
        <v>727</v>
      </c>
      <c r="N5" s="7" t="n">
        <v>320</v>
      </c>
      <c r="O5" s="7"/>
    </row>
    <row r="6" customFormat="false" ht="15" hidden="false" customHeight="false" outlineLevel="0" collapsed="false">
      <c r="A6" s="5" t="n">
        <v>5</v>
      </c>
      <c r="B6" s="5" t="s">
        <v>79</v>
      </c>
      <c r="C6" s="5" t="s">
        <v>80</v>
      </c>
      <c r="D6" s="5" t="s">
        <v>81</v>
      </c>
      <c r="E6" s="10" t="s">
        <v>82</v>
      </c>
      <c r="F6" s="5" t="s">
        <v>83</v>
      </c>
      <c r="G6" s="5" t="s">
        <v>84</v>
      </c>
      <c r="H6" s="7" t="n">
        <v>27000</v>
      </c>
      <c r="I6" s="8" t="n">
        <f aca="false">H6/$H$202</f>
        <v>0.0272932937344706</v>
      </c>
      <c r="J6" s="5" t="s">
        <v>85</v>
      </c>
      <c r="K6" s="7"/>
      <c r="L6" s="7"/>
      <c r="M6" s="7"/>
      <c r="N6" s="7"/>
      <c r="O6" s="7"/>
    </row>
    <row r="7" customFormat="false" ht="15" hidden="false" customHeight="false" outlineLevel="0" collapsed="false">
      <c r="A7" s="5" t="n">
        <v>6</v>
      </c>
      <c r="B7" s="5" t="s">
        <v>86</v>
      </c>
      <c r="C7" s="5" t="s">
        <v>87</v>
      </c>
      <c r="D7" s="5" t="s">
        <v>88</v>
      </c>
      <c r="E7" s="10" t="s">
        <v>82</v>
      </c>
      <c r="F7" s="5" t="s">
        <v>89</v>
      </c>
      <c r="G7" s="5" t="s">
        <v>90</v>
      </c>
      <c r="H7" s="7" t="n">
        <v>26000</v>
      </c>
      <c r="I7" s="8" t="n">
        <f aca="false">H7/$H$202</f>
        <v>0.0262824310035643</v>
      </c>
      <c r="J7" s="5" t="s">
        <v>91</v>
      </c>
      <c r="K7" s="7"/>
      <c r="L7" s="7"/>
      <c r="M7" s="7"/>
      <c r="N7" s="7"/>
      <c r="O7" s="7"/>
    </row>
    <row r="8" customFormat="false" ht="15" hidden="false" customHeight="false" outlineLevel="0" collapsed="false">
      <c r="A8" s="5" t="n">
        <v>7</v>
      </c>
      <c r="B8" s="5" t="s">
        <v>92</v>
      </c>
      <c r="C8" s="5" t="s">
        <v>93</v>
      </c>
      <c r="D8" s="5" t="s">
        <v>94</v>
      </c>
      <c r="E8" s="6" t="s">
        <v>59</v>
      </c>
      <c r="F8" s="5" t="s">
        <v>60</v>
      </c>
      <c r="G8" s="5" t="s">
        <v>95</v>
      </c>
      <c r="H8" s="7" t="n">
        <v>24045</v>
      </c>
      <c r="I8" s="8" t="n">
        <f aca="false">H8/$H$202</f>
        <v>0.0243061943646424</v>
      </c>
      <c r="J8" s="5" t="s">
        <v>62</v>
      </c>
      <c r="K8" s="7"/>
      <c r="L8" s="7"/>
      <c r="M8" s="7"/>
      <c r="N8" s="7"/>
      <c r="O8" s="7"/>
    </row>
    <row r="9" customFormat="false" ht="15" hidden="false" customHeight="false" outlineLevel="0" collapsed="false">
      <c r="A9" s="5" t="n">
        <v>8</v>
      </c>
      <c r="B9" s="5" t="s">
        <v>96</v>
      </c>
      <c r="C9" s="5" t="s">
        <v>97</v>
      </c>
      <c r="D9" s="5" t="s">
        <v>98</v>
      </c>
      <c r="E9" s="9" t="s">
        <v>66</v>
      </c>
      <c r="F9" s="5" t="s">
        <v>99</v>
      </c>
      <c r="G9" s="5" t="s">
        <v>100</v>
      </c>
      <c r="H9" s="7" t="n">
        <v>24031</v>
      </c>
      <c r="I9" s="8" t="n">
        <f aca="false">H9/$H$202</f>
        <v>0.0242920422864098</v>
      </c>
      <c r="J9" s="5" t="s">
        <v>69</v>
      </c>
      <c r="K9" s="7" t="n">
        <v>3746</v>
      </c>
      <c r="L9" s="7" t="n">
        <v>2281</v>
      </c>
      <c r="M9" s="7" t="n">
        <v>1732</v>
      </c>
      <c r="N9" s="7"/>
      <c r="O9" s="7" t="n">
        <v>423</v>
      </c>
    </row>
    <row r="10" customFormat="false" ht="15" hidden="false" customHeight="false" outlineLevel="0" collapsed="false">
      <c r="A10" s="5" t="n">
        <v>9</v>
      </c>
      <c r="B10" s="5" t="s">
        <v>101</v>
      </c>
      <c r="C10" s="5" t="s">
        <v>102</v>
      </c>
      <c r="D10" s="5" t="s">
        <v>102</v>
      </c>
      <c r="E10" s="10" t="s">
        <v>82</v>
      </c>
      <c r="F10" s="5" t="s">
        <v>67</v>
      </c>
      <c r="G10" s="5" t="s">
        <v>68</v>
      </c>
      <c r="H10" s="7" t="n">
        <v>23000</v>
      </c>
      <c r="I10" s="8" t="n">
        <f aca="false">H10/$H$202</f>
        <v>0.0232498428108453</v>
      </c>
      <c r="J10" s="5" t="s">
        <v>103</v>
      </c>
      <c r="K10" s="7"/>
      <c r="L10" s="7"/>
      <c r="M10" s="7"/>
      <c r="N10" s="7"/>
      <c r="O10" s="7"/>
    </row>
    <row r="11" customFormat="false" ht="15" hidden="false" customHeight="false" outlineLevel="0" collapsed="false">
      <c r="A11" s="5" t="n">
        <v>10</v>
      </c>
      <c r="B11" s="5" t="s">
        <v>104</v>
      </c>
      <c r="C11" s="5" t="s">
        <v>105</v>
      </c>
      <c r="D11" s="5" t="s">
        <v>106</v>
      </c>
      <c r="E11" s="9" t="s">
        <v>66</v>
      </c>
      <c r="F11" s="5" t="s">
        <v>107</v>
      </c>
      <c r="G11" s="5" t="s">
        <v>108</v>
      </c>
      <c r="H11" s="7" t="n">
        <v>22335</v>
      </c>
      <c r="I11" s="8" t="n">
        <f aca="false">H11/$H$202</f>
        <v>0.0225776190947926</v>
      </c>
      <c r="J11" s="5" t="s">
        <v>69</v>
      </c>
      <c r="K11" s="7" t="n">
        <v>3546</v>
      </c>
      <c r="L11" s="7"/>
      <c r="M11" s="7" t="n">
        <v>418</v>
      </c>
      <c r="N11" s="7"/>
      <c r="O11" s="7"/>
    </row>
    <row r="12" customFormat="false" ht="15" hidden="false" customHeight="false" outlineLevel="0" collapsed="false">
      <c r="A12" s="5" t="n">
        <v>11</v>
      </c>
      <c r="B12" s="5" t="s">
        <v>109</v>
      </c>
      <c r="C12" s="5" t="s">
        <v>110</v>
      </c>
      <c r="D12" s="5" t="s">
        <v>111</v>
      </c>
      <c r="E12" s="9" t="s">
        <v>66</v>
      </c>
      <c r="F12" s="5" t="s">
        <v>67</v>
      </c>
      <c r="G12" s="5" t="s">
        <v>68</v>
      </c>
      <c r="H12" s="7" t="n">
        <v>21450</v>
      </c>
      <c r="I12" s="8" t="n">
        <f aca="false">H12/$H$202</f>
        <v>0.0216830055779405</v>
      </c>
      <c r="J12" s="5" t="s">
        <v>112</v>
      </c>
      <c r="K12" s="7"/>
      <c r="L12" s="7"/>
      <c r="M12" s="7"/>
      <c r="N12" s="7"/>
      <c r="O12" s="7"/>
    </row>
    <row r="13" customFormat="false" ht="15" hidden="false" customHeight="false" outlineLevel="0" collapsed="false">
      <c r="A13" s="5" t="n">
        <v>12</v>
      </c>
      <c r="B13" s="5" t="s">
        <v>113</v>
      </c>
      <c r="C13" s="5" t="s">
        <v>114</v>
      </c>
      <c r="D13" s="5" t="s">
        <v>115</v>
      </c>
      <c r="E13" s="6" t="s">
        <v>59</v>
      </c>
      <c r="F13" s="5" t="s">
        <v>89</v>
      </c>
      <c r="G13" s="5" t="s">
        <v>90</v>
      </c>
      <c r="H13" s="7" t="n">
        <v>21158</v>
      </c>
      <c r="I13" s="8" t="n">
        <f aca="false">H13/$H$202</f>
        <v>0.0213878336605159</v>
      </c>
      <c r="J13" s="5" t="s">
        <v>62</v>
      </c>
      <c r="K13" s="7"/>
      <c r="L13" s="7"/>
      <c r="M13" s="7"/>
      <c r="N13" s="7"/>
      <c r="O13" s="7"/>
    </row>
    <row r="14" customFormat="false" ht="15" hidden="false" customHeight="false" outlineLevel="0" collapsed="false">
      <c r="A14" s="5" t="n">
        <v>13</v>
      </c>
      <c r="B14" s="5" t="s">
        <v>116</v>
      </c>
      <c r="C14" s="5" t="s">
        <v>117</v>
      </c>
      <c r="D14" s="5" t="s">
        <v>117</v>
      </c>
      <c r="E14" s="9" t="s">
        <v>66</v>
      </c>
      <c r="F14" s="5" t="s">
        <v>118</v>
      </c>
      <c r="G14" s="5" t="s">
        <v>119</v>
      </c>
      <c r="H14" s="7" t="n">
        <v>20891</v>
      </c>
      <c r="I14" s="8" t="n">
        <f aca="false">H14/$H$202</f>
        <v>0.0211179333113639</v>
      </c>
      <c r="J14" s="5" t="s">
        <v>69</v>
      </c>
      <c r="K14" s="7" t="n">
        <v>8367</v>
      </c>
      <c r="L14" s="7"/>
      <c r="M14" s="7" t="n">
        <v>1201</v>
      </c>
      <c r="N14" s="7" t="n">
        <v>1163</v>
      </c>
      <c r="O14" s="7"/>
    </row>
    <row r="15" customFormat="false" ht="15" hidden="false" customHeight="false" outlineLevel="0" collapsed="false">
      <c r="A15" s="5" t="n">
        <v>14</v>
      </c>
      <c r="B15" s="5" t="s">
        <v>120</v>
      </c>
      <c r="C15" s="5" t="s">
        <v>121</v>
      </c>
      <c r="D15" s="5" t="s">
        <v>122</v>
      </c>
      <c r="E15" s="10" t="s">
        <v>82</v>
      </c>
      <c r="F15" s="5" t="s">
        <v>83</v>
      </c>
      <c r="G15" s="5" t="s">
        <v>84</v>
      </c>
      <c r="H15" s="7" t="n">
        <v>14917</v>
      </c>
      <c r="I15" s="8" t="n">
        <f aca="false">H15/$H$202</f>
        <v>0.0150790393569296</v>
      </c>
      <c r="J15" s="5" t="s">
        <v>123</v>
      </c>
      <c r="K15" s="7" t="n">
        <v>2118</v>
      </c>
      <c r="L15" s="7"/>
      <c r="M15" s="7" t="n">
        <v>1057</v>
      </c>
      <c r="N15" s="7" t="n">
        <v>120</v>
      </c>
      <c r="O15" s="7"/>
    </row>
    <row r="16" customFormat="false" ht="15" hidden="false" customHeight="false" outlineLevel="0" collapsed="false">
      <c r="A16" s="5" t="n">
        <v>15</v>
      </c>
      <c r="B16" s="5" t="s">
        <v>124</v>
      </c>
      <c r="C16" s="5" t="s">
        <v>125</v>
      </c>
      <c r="D16" s="5" t="s">
        <v>126</v>
      </c>
      <c r="E16" s="10" t="s">
        <v>82</v>
      </c>
      <c r="F16" s="5" t="s">
        <v>60</v>
      </c>
      <c r="G16" s="5" t="s">
        <v>95</v>
      </c>
      <c r="H16" s="7" t="n">
        <v>13600</v>
      </c>
      <c r="I16" s="8" t="n">
        <f aca="false">H16/$H$202</f>
        <v>0.0137477331403259</v>
      </c>
      <c r="J16" s="5" t="s">
        <v>127</v>
      </c>
      <c r="K16" s="7"/>
      <c r="L16" s="7"/>
      <c r="M16" s="7"/>
      <c r="N16" s="7"/>
      <c r="O16" s="7"/>
    </row>
    <row r="17" customFormat="false" ht="15" hidden="false" customHeight="false" outlineLevel="0" collapsed="false">
      <c r="A17" s="5" t="n">
        <v>16</v>
      </c>
      <c r="B17" s="5" t="s">
        <v>128</v>
      </c>
      <c r="C17" s="5" t="s">
        <v>129</v>
      </c>
      <c r="D17" s="5" t="s">
        <v>130</v>
      </c>
      <c r="E17" s="6" t="s">
        <v>59</v>
      </c>
      <c r="F17" s="5" t="s">
        <v>60</v>
      </c>
      <c r="G17" s="5" t="s">
        <v>95</v>
      </c>
      <c r="H17" s="7" t="n">
        <v>13171</v>
      </c>
      <c r="I17" s="8" t="n">
        <f aca="false">H17/$H$202</f>
        <v>0.0133140730287671</v>
      </c>
      <c r="J17" s="5" t="s">
        <v>62</v>
      </c>
      <c r="K17" s="7"/>
      <c r="L17" s="7"/>
      <c r="M17" s="7"/>
      <c r="N17" s="7"/>
      <c r="O17" s="7"/>
    </row>
    <row r="18" customFormat="false" ht="15" hidden="false" customHeight="false" outlineLevel="0" collapsed="false">
      <c r="A18" s="5" t="n">
        <v>17</v>
      </c>
      <c r="B18" s="5" t="s">
        <v>131</v>
      </c>
      <c r="C18" s="5" t="s">
        <v>132</v>
      </c>
      <c r="D18" s="5" t="s">
        <v>133</v>
      </c>
      <c r="E18" s="6" t="s">
        <v>59</v>
      </c>
      <c r="F18" s="5" t="s">
        <v>134</v>
      </c>
      <c r="G18" s="5" t="s">
        <v>135</v>
      </c>
      <c r="H18" s="7" t="n">
        <v>12954</v>
      </c>
      <c r="I18" s="8" t="n">
        <f aca="false">H18/$H$202</f>
        <v>0.0130947158161605</v>
      </c>
      <c r="J18" s="5" t="s">
        <v>62</v>
      </c>
      <c r="K18" s="7" t="n">
        <v>903</v>
      </c>
      <c r="L18" s="7" t="n">
        <v>8766</v>
      </c>
      <c r="M18" s="7" t="n">
        <v>1995</v>
      </c>
      <c r="N18" s="7" t="n">
        <v>211</v>
      </c>
      <c r="O18" s="7"/>
    </row>
    <row r="19" customFormat="false" ht="15" hidden="false" customHeight="false" outlineLevel="0" collapsed="false">
      <c r="A19" s="5" t="n">
        <v>18</v>
      </c>
      <c r="B19" s="5" t="s">
        <v>136</v>
      </c>
      <c r="C19" s="5" t="s">
        <v>137</v>
      </c>
      <c r="D19" s="5" t="s">
        <v>138</v>
      </c>
      <c r="E19" s="9" t="s">
        <v>66</v>
      </c>
      <c r="F19" s="5" t="s">
        <v>139</v>
      </c>
      <c r="G19" s="5" t="s">
        <v>140</v>
      </c>
      <c r="H19" s="7" t="n">
        <v>12494</v>
      </c>
      <c r="I19" s="8" t="n">
        <f aca="false">H19/$H$202</f>
        <v>0.0126297189599436</v>
      </c>
      <c r="J19" s="5" t="s">
        <v>69</v>
      </c>
      <c r="K19" s="7" t="n">
        <v>835</v>
      </c>
      <c r="L19" s="7"/>
      <c r="M19" s="7" t="n">
        <v>9242</v>
      </c>
      <c r="N19" s="7"/>
      <c r="O19" s="7"/>
    </row>
    <row r="20" customFormat="false" ht="15" hidden="false" customHeight="false" outlineLevel="0" collapsed="false">
      <c r="A20" s="5" t="n">
        <v>19</v>
      </c>
      <c r="B20" s="5" t="s">
        <v>141</v>
      </c>
      <c r="C20" s="5" t="s">
        <v>142</v>
      </c>
      <c r="D20" s="5" t="s">
        <v>143</v>
      </c>
      <c r="E20" s="6" t="s">
        <v>59</v>
      </c>
      <c r="F20" s="5" t="s">
        <v>89</v>
      </c>
      <c r="G20" s="5" t="s">
        <v>144</v>
      </c>
      <c r="H20" s="7" t="n">
        <v>12441</v>
      </c>
      <c r="I20" s="8" t="n">
        <f aca="false">H20/$H$202</f>
        <v>0.0125761432352055</v>
      </c>
      <c r="J20" s="5" t="s">
        <v>62</v>
      </c>
      <c r="K20" s="7"/>
      <c r="L20" s="7"/>
      <c r="M20" s="7"/>
      <c r="N20" s="7"/>
      <c r="O20" s="7"/>
    </row>
    <row r="21" customFormat="false" ht="15" hidden="false" customHeight="false" outlineLevel="0" collapsed="false">
      <c r="A21" s="5" t="n">
        <v>20</v>
      </c>
      <c r="B21" s="5" t="s">
        <v>145</v>
      </c>
      <c r="C21" s="5" t="s">
        <v>146</v>
      </c>
      <c r="D21" s="5" t="s">
        <v>147</v>
      </c>
      <c r="E21" s="10" t="s">
        <v>82</v>
      </c>
      <c r="F21" s="5" t="s">
        <v>89</v>
      </c>
      <c r="G21" s="5" t="s">
        <v>90</v>
      </c>
      <c r="H21" s="7" t="n">
        <v>11880</v>
      </c>
      <c r="I21" s="8" t="n">
        <f aca="false">H21/$H$202</f>
        <v>0.0120090492431671</v>
      </c>
      <c r="J21" s="5" t="s">
        <v>148</v>
      </c>
      <c r="K21" s="7"/>
      <c r="L21" s="7"/>
      <c r="M21" s="7"/>
      <c r="N21" s="7"/>
      <c r="O21" s="7"/>
    </row>
    <row r="22" customFormat="false" ht="15" hidden="false" customHeight="false" outlineLevel="0" collapsed="false">
      <c r="A22" s="5" t="n">
        <v>21</v>
      </c>
      <c r="B22" s="5" t="s">
        <v>149</v>
      </c>
      <c r="C22" s="5" t="s">
        <v>150</v>
      </c>
      <c r="D22" s="5" t="s">
        <v>151</v>
      </c>
      <c r="E22" s="9" t="s">
        <v>66</v>
      </c>
      <c r="F22" s="5" t="s">
        <v>139</v>
      </c>
      <c r="G22" s="5" t="s">
        <v>140</v>
      </c>
      <c r="H22" s="7" t="n">
        <v>11374</v>
      </c>
      <c r="I22" s="8" t="n">
        <f aca="false">H22/$H$202</f>
        <v>0.0114975527013285</v>
      </c>
      <c r="J22" s="5" t="s">
        <v>69</v>
      </c>
      <c r="K22" s="7" t="n">
        <v>1430</v>
      </c>
      <c r="L22" s="7"/>
      <c r="M22" s="7" t="n">
        <v>6768</v>
      </c>
      <c r="N22" s="7"/>
      <c r="O22" s="7"/>
    </row>
    <row r="23" customFormat="false" ht="15" hidden="false" customHeight="false" outlineLevel="0" collapsed="false">
      <c r="A23" s="5" t="n">
        <v>22</v>
      </c>
      <c r="B23" s="5" t="s">
        <v>152</v>
      </c>
      <c r="C23" s="5" t="s">
        <v>153</v>
      </c>
      <c r="D23" s="5" t="s">
        <v>154</v>
      </c>
      <c r="E23" s="10" t="s">
        <v>82</v>
      </c>
      <c r="F23" s="5" t="s">
        <v>89</v>
      </c>
      <c r="G23" s="5" t="s">
        <v>90</v>
      </c>
      <c r="H23" s="7" t="n">
        <v>11300</v>
      </c>
      <c r="I23" s="8" t="n">
        <f aca="false">H23/$H$202</f>
        <v>0.0114227488592414</v>
      </c>
      <c r="J23" s="5" t="s">
        <v>155</v>
      </c>
      <c r="K23" s="7"/>
      <c r="L23" s="7"/>
      <c r="M23" s="7"/>
      <c r="N23" s="7"/>
      <c r="O23" s="7"/>
    </row>
    <row r="24" customFormat="false" ht="15" hidden="false" customHeight="false" outlineLevel="0" collapsed="false">
      <c r="A24" s="5" t="n">
        <v>23</v>
      </c>
      <c r="B24" s="5" t="s">
        <v>156</v>
      </c>
      <c r="C24" s="5" t="s">
        <v>157</v>
      </c>
      <c r="D24" s="5" t="s">
        <v>157</v>
      </c>
      <c r="E24" s="6" t="s">
        <v>59</v>
      </c>
      <c r="F24" s="5" t="s">
        <v>73</v>
      </c>
      <c r="G24" s="5" t="s">
        <v>74</v>
      </c>
      <c r="H24" s="7" t="n">
        <v>11291</v>
      </c>
      <c r="I24" s="8" t="n">
        <f aca="false">H24/$H$202</f>
        <v>0.0114136510946633</v>
      </c>
      <c r="J24" s="5" t="s">
        <v>62</v>
      </c>
      <c r="K24" s="7" t="n">
        <v>6437</v>
      </c>
      <c r="L24" s="7"/>
      <c r="M24" s="7" t="n">
        <v>2238</v>
      </c>
      <c r="N24" s="7" t="n">
        <v>2182</v>
      </c>
      <c r="O24" s="7"/>
    </row>
    <row r="25" customFormat="false" ht="15" hidden="false" customHeight="false" outlineLevel="0" collapsed="false">
      <c r="A25" s="5" t="n">
        <v>24</v>
      </c>
      <c r="B25" s="5" t="s">
        <v>158</v>
      </c>
      <c r="C25" s="5" t="s">
        <v>159</v>
      </c>
      <c r="D25" s="5" t="s">
        <v>160</v>
      </c>
      <c r="E25" s="6" t="s">
        <v>59</v>
      </c>
      <c r="F25" s="5" t="s">
        <v>139</v>
      </c>
      <c r="G25" s="5" t="s">
        <v>140</v>
      </c>
      <c r="H25" s="7" t="n">
        <v>10984</v>
      </c>
      <c r="I25" s="8" t="n">
        <f aca="false">H25/$H$202</f>
        <v>0.011103316236275</v>
      </c>
      <c r="J25" s="5" t="s">
        <v>62</v>
      </c>
      <c r="K25" s="7" t="n">
        <v>760</v>
      </c>
      <c r="L25" s="7"/>
      <c r="M25" s="7" t="n">
        <v>7178</v>
      </c>
      <c r="N25" s="7"/>
      <c r="O25" s="7"/>
    </row>
    <row r="26" customFormat="false" ht="15" hidden="false" customHeight="false" outlineLevel="0" collapsed="false">
      <c r="A26" s="5" t="n">
        <v>25</v>
      </c>
      <c r="B26" s="5" t="s">
        <v>161</v>
      </c>
      <c r="C26" s="5" t="s">
        <v>162</v>
      </c>
      <c r="D26" s="5" t="s">
        <v>163</v>
      </c>
      <c r="E26" s="9" t="s">
        <v>66</v>
      </c>
      <c r="F26" s="5" t="s">
        <v>139</v>
      </c>
      <c r="G26" s="5" t="s">
        <v>140</v>
      </c>
      <c r="H26" s="7" t="n">
        <v>10057</v>
      </c>
      <c r="I26" s="8" t="n">
        <f aca="false">H26/$H$202</f>
        <v>0.0101662464847249</v>
      </c>
      <c r="J26" s="5" t="s">
        <v>69</v>
      </c>
      <c r="K26" s="7" t="n">
        <v>998</v>
      </c>
      <c r="L26" s="7"/>
      <c r="M26" s="7" t="n">
        <v>7541</v>
      </c>
      <c r="N26" s="7"/>
      <c r="O26" s="7"/>
    </row>
    <row r="27" customFormat="false" ht="15" hidden="false" customHeight="false" outlineLevel="0" collapsed="false">
      <c r="A27" s="5" t="n">
        <v>26</v>
      </c>
      <c r="B27" s="5" t="s">
        <v>164</v>
      </c>
      <c r="C27" s="5" t="s">
        <v>165</v>
      </c>
      <c r="D27" s="5" t="s">
        <v>166</v>
      </c>
      <c r="E27" s="9" t="s">
        <v>66</v>
      </c>
      <c r="F27" s="5" t="s">
        <v>139</v>
      </c>
      <c r="G27" s="5" t="s">
        <v>140</v>
      </c>
      <c r="H27" s="7" t="n">
        <v>10004</v>
      </c>
      <c r="I27" s="8" t="n">
        <f aca="false">H27/$H$202</f>
        <v>0.0101126707599868</v>
      </c>
      <c r="J27" s="5" t="s">
        <v>69</v>
      </c>
      <c r="K27" s="7" t="n">
        <v>1105</v>
      </c>
      <c r="L27" s="7"/>
      <c r="M27" s="7" t="n">
        <v>6518</v>
      </c>
      <c r="N27" s="7"/>
      <c r="O27" s="7"/>
    </row>
    <row r="28" customFormat="false" ht="15" hidden="false" customHeight="false" outlineLevel="0" collapsed="false">
      <c r="A28" s="5" t="n">
        <v>27</v>
      </c>
      <c r="B28" s="5" t="s">
        <v>167</v>
      </c>
      <c r="C28" s="5" t="s">
        <v>168</v>
      </c>
      <c r="D28" s="5" t="s">
        <v>168</v>
      </c>
      <c r="E28" s="9" t="s">
        <v>66</v>
      </c>
      <c r="F28" s="5" t="s">
        <v>169</v>
      </c>
      <c r="G28" s="5" t="s">
        <v>170</v>
      </c>
      <c r="H28" s="7" t="n">
        <v>8404</v>
      </c>
      <c r="I28" s="8" t="n">
        <f aca="false">H28/$H$202</f>
        <v>0.00849529039053671</v>
      </c>
      <c r="J28" s="5" t="s">
        <v>69</v>
      </c>
      <c r="K28" s="7"/>
      <c r="L28" s="7"/>
      <c r="M28" s="7" t="n">
        <v>384</v>
      </c>
      <c r="N28" s="7"/>
      <c r="O28" s="7"/>
    </row>
    <row r="29" customFormat="false" ht="15" hidden="false" customHeight="false" outlineLevel="0" collapsed="false">
      <c r="A29" s="5" t="n">
        <v>28</v>
      </c>
      <c r="B29" s="5" t="s">
        <v>171</v>
      </c>
      <c r="C29" s="5" t="s">
        <v>172</v>
      </c>
      <c r="D29" s="5" t="s">
        <v>173</v>
      </c>
      <c r="E29" s="9" t="s">
        <v>66</v>
      </c>
      <c r="F29" s="5" t="s">
        <v>139</v>
      </c>
      <c r="G29" s="5" t="s">
        <v>140</v>
      </c>
      <c r="H29" s="7" t="n">
        <v>7854</v>
      </c>
      <c r="I29" s="8" t="n">
        <f aca="false">H29/$H$202</f>
        <v>0.00793931588853823</v>
      </c>
      <c r="J29" s="5" t="s">
        <v>69</v>
      </c>
      <c r="K29" s="7" t="n">
        <v>763</v>
      </c>
      <c r="L29" s="7"/>
      <c r="M29" s="7" t="n">
        <v>5658</v>
      </c>
      <c r="N29" s="7"/>
      <c r="O29" s="7"/>
    </row>
    <row r="30" customFormat="false" ht="15" hidden="false" customHeight="false" outlineLevel="0" collapsed="false">
      <c r="A30" s="5" t="n">
        <v>29</v>
      </c>
      <c r="B30" s="5" t="s">
        <v>174</v>
      </c>
      <c r="C30" s="5" t="s">
        <v>175</v>
      </c>
      <c r="D30" s="5" t="s">
        <v>176</v>
      </c>
      <c r="E30" s="6" t="s">
        <v>59</v>
      </c>
      <c r="F30" s="5" t="s">
        <v>139</v>
      </c>
      <c r="G30" s="5" t="s">
        <v>140</v>
      </c>
      <c r="H30" s="7" t="n">
        <v>6883</v>
      </c>
      <c r="I30" s="8" t="n">
        <f aca="false">H30/$H$202</f>
        <v>0.0069577681768282</v>
      </c>
      <c r="J30" s="5" t="s">
        <v>62</v>
      </c>
      <c r="K30" s="7" t="n">
        <v>879</v>
      </c>
      <c r="L30" s="7"/>
      <c r="M30" s="7" t="n">
        <v>4128</v>
      </c>
      <c r="N30" s="7"/>
      <c r="O30" s="7"/>
    </row>
    <row r="31" customFormat="false" ht="15" hidden="false" customHeight="false" outlineLevel="0" collapsed="false">
      <c r="A31" s="5" t="n">
        <v>30</v>
      </c>
      <c r="B31" s="5" t="s">
        <v>177</v>
      </c>
      <c r="C31" s="5" t="s">
        <v>178</v>
      </c>
      <c r="D31" s="5" t="s">
        <v>178</v>
      </c>
      <c r="E31" s="9" t="s">
        <v>66</v>
      </c>
      <c r="F31" s="5" t="s">
        <v>169</v>
      </c>
      <c r="G31" s="5" t="s">
        <v>170</v>
      </c>
      <c r="H31" s="7" t="n">
        <v>6794</v>
      </c>
      <c r="I31" s="8" t="n">
        <f aca="false">H31/$H$202</f>
        <v>0.00686780139377753</v>
      </c>
      <c r="J31" s="5" t="s">
        <v>69</v>
      </c>
      <c r="K31" s="7" t="n">
        <v>1441</v>
      </c>
      <c r="L31" s="7"/>
      <c r="M31" s="7" t="n">
        <v>683</v>
      </c>
      <c r="N31" s="7" t="n">
        <v>500</v>
      </c>
      <c r="O31" s="7" t="n">
        <v>339</v>
      </c>
    </row>
    <row r="32" customFormat="false" ht="15" hidden="false" customHeight="false" outlineLevel="0" collapsed="false">
      <c r="A32" s="5" t="n">
        <v>31</v>
      </c>
      <c r="B32" s="5" t="s">
        <v>179</v>
      </c>
      <c r="C32" s="5" t="s">
        <v>180</v>
      </c>
      <c r="D32" s="5" t="s">
        <v>180</v>
      </c>
      <c r="E32" s="9" t="s">
        <v>66</v>
      </c>
      <c r="F32" s="5" t="s">
        <v>73</v>
      </c>
      <c r="G32" s="5" t="s">
        <v>74</v>
      </c>
      <c r="H32" s="7" t="n">
        <v>6078</v>
      </c>
      <c r="I32" s="8" t="n">
        <f aca="false">H32/$H$202</f>
        <v>0.00614402367844861</v>
      </c>
      <c r="J32" s="5" t="s">
        <v>69</v>
      </c>
      <c r="K32" s="7"/>
      <c r="L32" s="7"/>
      <c r="M32" s="7"/>
      <c r="N32" s="7"/>
      <c r="O32" s="7"/>
    </row>
    <row r="33" customFormat="false" ht="15" hidden="false" customHeight="false" outlineLevel="0" collapsed="false">
      <c r="A33" s="5" t="n">
        <v>32</v>
      </c>
      <c r="B33" s="5" t="s">
        <v>181</v>
      </c>
      <c r="C33" s="5" t="s">
        <v>182</v>
      </c>
      <c r="D33" s="5" t="s">
        <v>182</v>
      </c>
      <c r="E33" s="6" t="s">
        <v>59</v>
      </c>
      <c r="F33" s="5" t="s">
        <v>139</v>
      </c>
      <c r="G33" s="5" t="s">
        <v>140</v>
      </c>
      <c r="H33" s="7" t="n">
        <v>5782</v>
      </c>
      <c r="I33" s="8" t="n">
        <f aca="false">H33/$H$202</f>
        <v>0.00584480831010034</v>
      </c>
      <c r="J33" s="5" t="s">
        <v>62</v>
      </c>
      <c r="K33" s="7" t="n">
        <v>452</v>
      </c>
      <c r="L33" s="7"/>
      <c r="M33" s="7" t="n">
        <v>4335</v>
      </c>
      <c r="N33" s="7"/>
      <c r="O33" s="7"/>
    </row>
    <row r="34" customFormat="false" ht="15" hidden="false" customHeight="false" outlineLevel="0" collapsed="false">
      <c r="A34" s="5" t="n">
        <v>33</v>
      </c>
      <c r="B34" s="5" t="s">
        <v>183</v>
      </c>
      <c r="C34" s="5" t="s">
        <v>184</v>
      </c>
      <c r="D34" s="5" t="s">
        <v>185</v>
      </c>
      <c r="E34" s="6" t="s">
        <v>59</v>
      </c>
      <c r="F34" s="5" t="s">
        <v>60</v>
      </c>
      <c r="G34" s="5" t="s">
        <v>95</v>
      </c>
      <c r="H34" s="7" t="n">
        <v>5127</v>
      </c>
      <c r="I34" s="8" t="n">
        <f aca="false">H34/$H$202</f>
        <v>0.0051826932213567</v>
      </c>
      <c r="J34" s="5" t="s">
        <v>62</v>
      </c>
      <c r="K34" s="7" t="n">
        <v>76</v>
      </c>
      <c r="L34" s="7"/>
      <c r="M34" s="7" t="n">
        <v>3</v>
      </c>
      <c r="N34" s="7"/>
      <c r="O34" s="7" t="n">
        <v>4970</v>
      </c>
    </row>
    <row r="35" customFormat="false" ht="15" hidden="false" customHeight="false" outlineLevel="0" collapsed="false">
      <c r="A35" s="5" t="n">
        <v>34</v>
      </c>
      <c r="B35" s="5" t="s">
        <v>186</v>
      </c>
      <c r="C35" s="5" t="s">
        <v>187</v>
      </c>
      <c r="D35" s="5" t="s">
        <v>187</v>
      </c>
      <c r="E35" s="9" t="s">
        <v>66</v>
      </c>
      <c r="F35" s="5" t="s">
        <v>188</v>
      </c>
      <c r="G35" s="5" t="s">
        <v>189</v>
      </c>
      <c r="H35" s="7" t="n">
        <v>4656</v>
      </c>
      <c r="I35" s="8" t="n">
        <f aca="false">H35/$H$202</f>
        <v>0.00470657687509982</v>
      </c>
      <c r="J35" s="5" t="s">
        <v>69</v>
      </c>
      <c r="K35" s="7" t="n">
        <v>211</v>
      </c>
      <c r="L35" s="7"/>
      <c r="M35" s="7" t="n">
        <v>2582</v>
      </c>
      <c r="N35" s="7" t="n">
        <v>403</v>
      </c>
      <c r="O35" s="7" t="n">
        <v>149</v>
      </c>
    </row>
    <row r="36" customFormat="false" ht="15" hidden="false" customHeight="false" outlineLevel="0" collapsed="false">
      <c r="A36" s="5" t="n">
        <v>35</v>
      </c>
      <c r="B36" s="5" t="s">
        <v>190</v>
      </c>
      <c r="C36" s="5" t="s">
        <v>191</v>
      </c>
      <c r="D36" s="5" t="s">
        <v>192</v>
      </c>
      <c r="E36" s="6" t="s">
        <v>59</v>
      </c>
      <c r="F36" s="5" t="s">
        <v>83</v>
      </c>
      <c r="G36" s="5" t="s">
        <v>193</v>
      </c>
      <c r="H36" s="7" t="n">
        <v>4636</v>
      </c>
      <c r="I36" s="8" t="n">
        <f aca="false">H36/$H$202</f>
        <v>0.0046863596204817</v>
      </c>
      <c r="J36" s="5" t="s">
        <v>62</v>
      </c>
      <c r="K36" s="7" t="n">
        <v>1854</v>
      </c>
      <c r="L36" s="7"/>
      <c r="M36" s="7" t="n">
        <v>1274</v>
      </c>
      <c r="N36" s="7" t="n">
        <v>393</v>
      </c>
      <c r="O36" s="7"/>
    </row>
    <row r="37" customFormat="false" ht="15" hidden="false" customHeight="false" outlineLevel="0" collapsed="false">
      <c r="A37" s="5" t="n">
        <v>36</v>
      </c>
      <c r="B37" s="5" t="s">
        <v>194</v>
      </c>
      <c r="C37" s="5" t="s">
        <v>195</v>
      </c>
      <c r="D37" s="5" t="s">
        <v>196</v>
      </c>
      <c r="E37" s="6" t="s">
        <v>59</v>
      </c>
      <c r="F37" s="5" t="s">
        <v>139</v>
      </c>
      <c r="G37" s="5" t="s">
        <v>140</v>
      </c>
      <c r="H37" s="7" t="n">
        <v>4304</v>
      </c>
      <c r="I37" s="8" t="n">
        <f aca="false">H37/$H$202</f>
        <v>0.0043507531938208</v>
      </c>
      <c r="J37" s="5" t="s">
        <v>62</v>
      </c>
      <c r="K37" s="7" t="n">
        <v>830</v>
      </c>
      <c r="L37" s="7"/>
      <c r="M37" s="7" t="n">
        <v>2773</v>
      </c>
      <c r="N37" s="7"/>
      <c r="O37" s="7"/>
    </row>
    <row r="38" customFormat="false" ht="15" hidden="false" customHeight="false" outlineLevel="0" collapsed="false">
      <c r="A38" s="5" t="n">
        <v>37</v>
      </c>
      <c r="B38" s="5" t="s">
        <v>197</v>
      </c>
      <c r="C38" s="5" t="s">
        <v>198</v>
      </c>
      <c r="D38" s="5" t="s">
        <v>199</v>
      </c>
      <c r="E38" s="9" t="s">
        <v>66</v>
      </c>
      <c r="F38" s="5" t="s">
        <v>107</v>
      </c>
      <c r="G38" s="5" t="s">
        <v>108</v>
      </c>
      <c r="H38" s="7" t="n">
        <v>4292</v>
      </c>
      <c r="I38" s="8" t="n">
        <f aca="false">H38/$H$202</f>
        <v>0.00433862284104992</v>
      </c>
      <c r="J38" s="5" t="s">
        <v>69</v>
      </c>
      <c r="K38" s="7" t="n">
        <v>537</v>
      </c>
      <c r="L38" s="7" t="n">
        <v>78</v>
      </c>
      <c r="M38" s="7" t="n">
        <v>58</v>
      </c>
      <c r="N38" s="7"/>
      <c r="O38" s="7"/>
    </row>
    <row r="39" customFormat="false" ht="15" hidden="false" customHeight="false" outlineLevel="0" collapsed="false">
      <c r="A39" s="5" t="n">
        <v>38</v>
      </c>
      <c r="B39" s="5" t="s">
        <v>200</v>
      </c>
      <c r="C39" s="5" t="s">
        <v>201</v>
      </c>
      <c r="D39" s="5" t="s">
        <v>202</v>
      </c>
      <c r="E39" s="9" t="s">
        <v>66</v>
      </c>
      <c r="F39" s="5" t="s">
        <v>83</v>
      </c>
      <c r="G39" s="5" t="s">
        <v>84</v>
      </c>
      <c r="H39" s="7" t="n">
        <v>4158</v>
      </c>
      <c r="I39" s="8" t="n">
        <f aca="false">H39/$H$202</f>
        <v>0.00420316723510848</v>
      </c>
      <c r="J39" s="5" t="s">
        <v>69</v>
      </c>
      <c r="K39" s="7" t="n">
        <v>613</v>
      </c>
      <c r="L39" s="7"/>
      <c r="M39" s="7" t="n">
        <v>155</v>
      </c>
      <c r="N39" s="7"/>
      <c r="O39" s="7"/>
    </row>
    <row r="40" customFormat="false" ht="15" hidden="false" customHeight="false" outlineLevel="0" collapsed="false">
      <c r="A40" s="5" t="n">
        <v>39</v>
      </c>
      <c r="B40" s="5" t="s">
        <v>203</v>
      </c>
      <c r="C40" s="5" t="s">
        <v>204</v>
      </c>
      <c r="D40" s="5" t="s">
        <v>205</v>
      </c>
      <c r="E40" s="6" t="s">
        <v>59</v>
      </c>
      <c r="F40" s="5" t="s">
        <v>83</v>
      </c>
      <c r="G40" s="5" t="s">
        <v>206</v>
      </c>
      <c r="H40" s="7" t="n">
        <v>3856</v>
      </c>
      <c r="I40" s="8" t="n">
        <f aca="false">H40/$H$202</f>
        <v>0.00389788669037477</v>
      </c>
      <c r="J40" s="5" t="s">
        <v>62</v>
      </c>
      <c r="K40" s="7" t="n">
        <v>1777</v>
      </c>
      <c r="L40" s="7"/>
      <c r="M40" s="7" t="n">
        <v>1536</v>
      </c>
      <c r="N40" s="7" t="n">
        <v>311</v>
      </c>
      <c r="O40" s="7"/>
    </row>
    <row r="41" customFormat="false" ht="15" hidden="false" customHeight="false" outlineLevel="0" collapsed="false">
      <c r="A41" s="5" t="n">
        <v>40</v>
      </c>
      <c r="B41" s="5" t="s">
        <v>207</v>
      </c>
      <c r="C41" s="5" t="s">
        <v>208</v>
      </c>
      <c r="D41" s="5" t="s">
        <v>209</v>
      </c>
      <c r="E41" s="6" t="s">
        <v>59</v>
      </c>
      <c r="F41" s="5" t="s">
        <v>139</v>
      </c>
      <c r="G41" s="5" t="s">
        <v>140</v>
      </c>
      <c r="H41" s="7" t="n">
        <v>3744</v>
      </c>
      <c r="I41" s="8" t="n">
        <f aca="false">H41/$H$202</f>
        <v>0.00378467006451326</v>
      </c>
      <c r="J41" s="5" t="s">
        <v>62</v>
      </c>
      <c r="K41" s="7" t="n">
        <v>521</v>
      </c>
      <c r="L41" s="7"/>
      <c r="M41" s="7" t="n">
        <v>2592</v>
      </c>
      <c r="N41" s="7"/>
      <c r="O41" s="7"/>
    </row>
    <row r="42" customFormat="false" ht="15" hidden="false" customHeight="false" outlineLevel="0" collapsed="false">
      <c r="A42" s="5" t="n">
        <v>41</v>
      </c>
      <c r="B42" s="5" t="s">
        <v>210</v>
      </c>
      <c r="C42" s="5" t="s">
        <v>211</v>
      </c>
      <c r="D42" s="5" t="s">
        <v>211</v>
      </c>
      <c r="E42" s="9" t="s">
        <v>66</v>
      </c>
      <c r="F42" s="5" t="s">
        <v>107</v>
      </c>
      <c r="G42" s="5" t="s">
        <v>108</v>
      </c>
      <c r="H42" s="7" t="n">
        <v>3691</v>
      </c>
      <c r="I42" s="8" t="n">
        <f aca="false">H42/$H$202</f>
        <v>0.00373109433977522</v>
      </c>
      <c r="J42" s="5" t="s">
        <v>69</v>
      </c>
      <c r="K42" s="7" t="n">
        <v>421</v>
      </c>
      <c r="L42" s="7" t="n">
        <v>77</v>
      </c>
      <c r="M42" s="7" t="n">
        <v>107</v>
      </c>
      <c r="N42" s="7" t="n">
        <v>19</v>
      </c>
      <c r="O42" s="7"/>
    </row>
    <row r="43" customFormat="false" ht="15" hidden="false" customHeight="false" outlineLevel="0" collapsed="false">
      <c r="A43" s="5" t="n">
        <v>42</v>
      </c>
      <c r="B43" s="5" t="s">
        <v>212</v>
      </c>
      <c r="C43" s="5" t="s">
        <v>213</v>
      </c>
      <c r="D43" s="5" t="s">
        <v>214</v>
      </c>
      <c r="E43" s="6" t="s">
        <v>59</v>
      </c>
      <c r="F43" s="5" t="s">
        <v>67</v>
      </c>
      <c r="G43" s="5" t="s">
        <v>78</v>
      </c>
      <c r="H43" s="7" t="n">
        <v>3468</v>
      </c>
      <c r="I43" s="8" t="n">
        <f aca="false">H43/$H$202</f>
        <v>0.00350567195078312</v>
      </c>
      <c r="J43" s="5" t="s">
        <v>62</v>
      </c>
      <c r="K43" s="7" t="n">
        <v>158</v>
      </c>
      <c r="L43" s="7" t="n">
        <v>913</v>
      </c>
      <c r="M43" s="7" t="n">
        <v>18</v>
      </c>
      <c r="N43" s="7"/>
      <c r="O43" s="7"/>
    </row>
    <row r="44" customFormat="false" ht="15" hidden="false" customHeight="false" outlineLevel="0" collapsed="false">
      <c r="A44" s="5" t="n">
        <v>43</v>
      </c>
      <c r="B44" s="5" t="s">
        <v>215</v>
      </c>
      <c r="C44" s="5" t="s">
        <v>216</v>
      </c>
      <c r="D44" s="5" t="s">
        <v>217</v>
      </c>
      <c r="E44" s="9" t="s">
        <v>66</v>
      </c>
      <c r="F44" s="5" t="s">
        <v>218</v>
      </c>
      <c r="G44" s="5" t="s">
        <v>219</v>
      </c>
      <c r="H44" s="7" t="n">
        <v>3413</v>
      </c>
      <c r="I44" s="8" t="n">
        <f aca="false">H44/$H$202</f>
        <v>0.00345007450058327</v>
      </c>
      <c r="J44" s="5" t="s">
        <v>69</v>
      </c>
      <c r="K44" s="7" t="n">
        <v>858</v>
      </c>
      <c r="L44" s="7"/>
      <c r="M44" s="7" t="n">
        <v>1232</v>
      </c>
      <c r="N44" s="7" t="n">
        <v>162</v>
      </c>
      <c r="O44" s="7" t="n">
        <v>751</v>
      </c>
    </row>
    <row r="45" customFormat="false" ht="15" hidden="false" customHeight="false" outlineLevel="0" collapsed="false">
      <c r="A45" s="5" t="n">
        <v>44</v>
      </c>
      <c r="B45" s="5" t="s">
        <v>220</v>
      </c>
      <c r="C45" s="5" t="s">
        <v>221</v>
      </c>
      <c r="D45" s="5" t="s">
        <v>222</v>
      </c>
      <c r="E45" s="6" t="s">
        <v>59</v>
      </c>
      <c r="F45" s="5" t="s">
        <v>118</v>
      </c>
      <c r="G45" s="5" t="s">
        <v>223</v>
      </c>
      <c r="H45" s="7" t="n">
        <v>3316</v>
      </c>
      <c r="I45" s="8" t="n">
        <f aca="false">H45/$H$202</f>
        <v>0.00335202081568536</v>
      </c>
      <c r="J45" s="5" t="s">
        <v>62</v>
      </c>
      <c r="K45" s="7" t="n">
        <v>983</v>
      </c>
      <c r="L45" s="7"/>
      <c r="M45" s="7" t="n">
        <v>859</v>
      </c>
      <c r="N45" s="7" t="n">
        <v>135</v>
      </c>
      <c r="O45" s="7"/>
    </row>
    <row r="46" customFormat="false" ht="15" hidden="false" customHeight="false" outlineLevel="0" collapsed="false">
      <c r="A46" s="5" t="n">
        <v>45</v>
      </c>
      <c r="B46" s="5" t="s">
        <v>224</v>
      </c>
      <c r="C46" s="5" t="s">
        <v>225</v>
      </c>
      <c r="D46" s="5" t="s">
        <v>226</v>
      </c>
      <c r="E46" s="6" t="s">
        <v>59</v>
      </c>
      <c r="F46" s="5" t="s">
        <v>139</v>
      </c>
      <c r="G46" s="5" t="s">
        <v>140</v>
      </c>
      <c r="H46" s="7" t="n">
        <v>3298</v>
      </c>
      <c r="I46" s="8" t="n">
        <f aca="false">H46/$H$202</f>
        <v>0.00333382528652904</v>
      </c>
      <c r="J46" s="5" t="s">
        <v>62</v>
      </c>
      <c r="K46" s="7" t="n">
        <v>55</v>
      </c>
      <c r="L46" s="7"/>
      <c r="M46" s="7" t="n">
        <v>2600</v>
      </c>
      <c r="N46" s="7"/>
      <c r="O46" s="7"/>
    </row>
    <row r="47" customFormat="false" ht="15" hidden="false" customHeight="false" outlineLevel="0" collapsed="false">
      <c r="A47" s="5" t="n">
        <v>46</v>
      </c>
      <c r="B47" s="5" t="s">
        <v>227</v>
      </c>
      <c r="C47" s="5" t="s">
        <v>228</v>
      </c>
      <c r="D47" s="5" t="s">
        <v>229</v>
      </c>
      <c r="E47" s="9" t="s">
        <v>66</v>
      </c>
      <c r="F47" s="5" t="s">
        <v>188</v>
      </c>
      <c r="G47" s="5" t="s">
        <v>189</v>
      </c>
      <c r="H47" s="7" t="n">
        <v>3291</v>
      </c>
      <c r="I47" s="8" t="n">
        <f aca="false">H47/$H$202</f>
        <v>0.0033267492474127</v>
      </c>
      <c r="J47" s="5" t="s">
        <v>69</v>
      </c>
      <c r="K47" s="7" t="n">
        <v>969</v>
      </c>
      <c r="L47" s="7"/>
      <c r="M47" s="7" t="n">
        <v>416</v>
      </c>
      <c r="N47" s="7" t="n">
        <v>874</v>
      </c>
      <c r="O47" s="7"/>
    </row>
    <row r="48" customFormat="false" ht="15" hidden="false" customHeight="false" outlineLevel="0" collapsed="false">
      <c r="A48" s="5" t="n">
        <v>47</v>
      </c>
      <c r="B48" s="5" t="s">
        <v>230</v>
      </c>
      <c r="C48" s="5" t="s">
        <v>231</v>
      </c>
      <c r="D48" s="5" t="s">
        <v>232</v>
      </c>
      <c r="E48" s="9" t="s">
        <v>66</v>
      </c>
      <c r="F48" s="5" t="s">
        <v>169</v>
      </c>
      <c r="G48" s="5" t="s">
        <v>233</v>
      </c>
      <c r="H48" s="7" t="n">
        <v>3283</v>
      </c>
      <c r="I48" s="8" t="n">
        <f aca="false">H48/$H$202</f>
        <v>0.00331866234556545</v>
      </c>
      <c r="J48" s="5" t="s">
        <v>69</v>
      </c>
      <c r="K48" s="7" t="n">
        <v>6</v>
      </c>
      <c r="L48" s="7"/>
      <c r="M48" s="7" t="n">
        <v>659</v>
      </c>
      <c r="N48" s="7"/>
      <c r="O48" s="7"/>
    </row>
    <row r="49" customFormat="false" ht="15" hidden="false" customHeight="false" outlineLevel="0" collapsed="false">
      <c r="A49" s="5" t="n">
        <v>48</v>
      </c>
      <c r="B49" s="5" t="s">
        <v>234</v>
      </c>
      <c r="C49" s="5" t="s">
        <v>235</v>
      </c>
      <c r="D49" s="5" t="s">
        <v>235</v>
      </c>
      <c r="E49" s="6" t="s">
        <v>59</v>
      </c>
      <c r="F49" s="5" t="s">
        <v>139</v>
      </c>
      <c r="G49" s="5" t="s">
        <v>140</v>
      </c>
      <c r="H49" s="7" t="n">
        <v>3249</v>
      </c>
      <c r="I49" s="8" t="n">
        <f aca="false">H49/$H$202</f>
        <v>0.00328429301271463</v>
      </c>
      <c r="J49" s="5" t="s">
        <v>62</v>
      </c>
      <c r="K49" s="7" t="n">
        <v>320</v>
      </c>
      <c r="L49" s="7"/>
      <c r="M49" s="7" t="n">
        <v>2309</v>
      </c>
      <c r="N49" s="7"/>
      <c r="O49" s="7"/>
    </row>
    <row r="50" customFormat="false" ht="15" hidden="false" customHeight="false" outlineLevel="0" collapsed="false">
      <c r="A50" s="5" t="n">
        <v>49</v>
      </c>
      <c r="B50" s="5" t="s">
        <v>236</v>
      </c>
      <c r="C50" s="5" t="s">
        <v>237</v>
      </c>
      <c r="D50" s="5" t="s">
        <v>238</v>
      </c>
      <c r="E50" s="9" t="s">
        <v>66</v>
      </c>
      <c r="F50" s="5" t="s">
        <v>239</v>
      </c>
      <c r="G50" s="5" t="s">
        <v>240</v>
      </c>
      <c r="H50" s="7" t="n">
        <v>3179</v>
      </c>
      <c r="I50" s="8" t="n">
        <f aca="false">H50/$H$202</f>
        <v>0.00321353262155119</v>
      </c>
      <c r="J50" s="5" t="s">
        <v>69</v>
      </c>
      <c r="K50" s="7" t="n">
        <v>232</v>
      </c>
      <c r="L50" s="7"/>
      <c r="M50" s="7" t="n">
        <v>337</v>
      </c>
      <c r="N50" s="7"/>
      <c r="O50" s="7"/>
    </row>
    <row r="51" customFormat="false" ht="15" hidden="false" customHeight="false" outlineLevel="0" collapsed="false">
      <c r="A51" s="5" t="n">
        <v>50</v>
      </c>
      <c r="B51" s="5" t="s">
        <v>241</v>
      </c>
      <c r="C51" s="5" t="s">
        <v>242</v>
      </c>
      <c r="D51" s="5" t="s">
        <v>243</v>
      </c>
      <c r="E51" s="6" t="s">
        <v>59</v>
      </c>
      <c r="F51" s="5" t="s">
        <v>60</v>
      </c>
      <c r="G51" s="5" t="s">
        <v>95</v>
      </c>
      <c r="H51" s="7" t="n">
        <v>3148</v>
      </c>
      <c r="I51" s="8" t="n">
        <f aca="false">H51/$H$202</f>
        <v>0.00318219587689309</v>
      </c>
      <c r="J51" s="5" t="s">
        <v>62</v>
      </c>
      <c r="K51" s="7" t="n">
        <v>198</v>
      </c>
      <c r="L51" s="7"/>
      <c r="M51" s="7" t="n">
        <v>195</v>
      </c>
      <c r="N51" s="7"/>
      <c r="O51" s="7" t="n">
        <v>2728</v>
      </c>
    </row>
    <row r="52" customFormat="false" ht="15" hidden="false" customHeight="false" outlineLevel="0" collapsed="false">
      <c r="A52" s="5" t="n">
        <v>51</v>
      </c>
      <c r="B52" s="5" t="s">
        <v>244</v>
      </c>
      <c r="C52" s="5" t="s">
        <v>245</v>
      </c>
      <c r="D52" s="5" t="s">
        <v>246</v>
      </c>
      <c r="E52" s="10" t="s">
        <v>82</v>
      </c>
      <c r="F52" s="5" t="s">
        <v>89</v>
      </c>
      <c r="G52" s="5" t="s">
        <v>90</v>
      </c>
      <c r="H52" s="7" t="n">
        <v>3000</v>
      </c>
      <c r="I52" s="8" t="n">
        <f aca="false">H52/$H$202</f>
        <v>0.00303258819271896</v>
      </c>
      <c r="J52" s="5" t="s">
        <v>247</v>
      </c>
      <c r="K52" s="7"/>
      <c r="L52" s="7"/>
      <c r="M52" s="7"/>
      <c r="N52" s="7"/>
      <c r="O52" s="7"/>
    </row>
    <row r="53" customFormat="false" ht="15" hidden="false" customHeight="false" outlineLevel="0" collapsed="false">
      <c r="A53" s="5" t="n">
        <v>52</v>
      </c>
      <c r="B53" s="5" t="s">
        <v>248</v>
      </c>
      <c r="C53" s="5" t="s">
        <v>249</v>
      </c>
      <c r="D53" s="5" t="s">
        <v>250</v>
      </c>
      <c r="E53" s="10" t="s">
        <v>82</v>
      </c>
      <c r="F53" s="5" t="s">
        <v>251</v>
      </c>
      <c r="G53" s="5" t="s">
        <v>252</v>
      </c>
      <c r="H53" s="7" t="n">
        <v>3000</v>
      </c>
      <c r="I53" s="8" t="n">
        <f aca="false">H53/$H$202</f>
        <v>0.00303258819271896</v>
      </c>
      <c r="J53" s="5" t="s">
        <v>253</v>
      </c>
      <c r="K53" s="7"/>
      <c r="L53" s="7"/>
      <c r="M53" s="7"/>
      <c r="N53" s="7"/>
      <c r="O53" s="7"/>
    </row>
    <row r="54" customFormat="false" ht="15" hidden="false" customHeight="false" outlineLevel="0" collapsed="false">
      <c r="A54" s="5" t="n">
        <v>53</v>
      </c>
      <c r="B54" s="5" t="s">
        <v>254</v>
      </c>
      <c r="C54" s="5" t="s">
        <v>255</v>
      </c>
      <c r="D54" s="5" t="s">
        <v>256</v>
      </c>
      <c r="E54" s="9" t="s">
        <v>66</v>
      </c>
      <c r="F54" s="5" t="s">
        <v>257</v>
      </c>
      <c r="G54" s="5" t="s">
        <v>258</v>
      </c>
      <c r="H54" s="7" t="n">
        <v>3000</v>
      </c>
      <c r="I54" s="8" t="n">
        <f aca="false">H54/$H$202</f>
        <v>0.00303258819271896</v>
      </c>
      <c r="J54" s="5" t="s">
        <v>69</v>
      </c>
      <c r="K54" s="7"/>
      <c r="L54" s="7"/>
      <c r="M54" s="7"/>
      <c r="N54" s="7"/>
      <c r="O54" s="7"/>
    </row>
    <row r="55" customFormat="false" ht="15" hidden="false" customHeight="false" outlineLevel="0" collapsed="false">
      <c r="A55" s="5" t="n">
        <v>54</v>
      </c>
      <c r="B55" s="5" t="s">
        <v>259</v>
      </c>
      <c r="C55" s="5" t="s">
        <v>260</v>
      </c>
      <c r="D55" s="5" t="s">
        <v>261</v>
      </c>
      <c r="E55" s="10" t="s">
        <v>82</v>
      </c>
      <c r="F55" s="5" t="s">
        <v>83</v>
      </c>
      <c r="G55" s="5" t="s">
        <v>84</v>
      </c>
      <c r="H55" s="7" t="n">
        <v>3000</v>
      </c>
      <c r="I55" s="8" t="n">
        <f aca="false">H55/$H$202</f>
        <v>0.00303258819271896</v>
      </c>
      <c r="J55" s="5" t="s">
        <v>262</v>
      </c>
      <c r="K55" s="7"/>
      <c r="L55" s="7"/>
      <c r="M55" s="7"/>
      <c r="N55" s="7"/>
      <c r="O55" s="7"/>
    </row>
    <row r="56" customFormat="false" ht="15" hidden="false" customHeight="false" outlineLevel="0" collapsed="false">
      <c r="A56" s="5" t="n">
        <v>55</v>
      </c>
      <c r="B56" s="5" t="s">
        <v>263</v>
      </c>
      <c r="C56" s="5" t="s">
        <v>264</v>
      </c>
      <c r="D56" s="5" t="s">
        <v>264</v>
      </c>
      <c r="E56" s="9" t="s">
        <v>66</v>
      </c>
      <c r="F56" s="5" t="s">
        <v>188</v>
      </c>
      <c r="G56" s="5" t="s">
        <v>189</v>
      </c>
      <c r="H56" s="7" t="n">
        <v>2948</v>
      </c>
      <c r="I56" s="8" t="n">
        <f aca="false">H56/$H$202</f>
        <v>0.00298002333071183</v>
      </c>
      <c r="J56" s="5" t="s">
        <v>69</v>
      </c>
      <c r="K56" s="7"/>
      <c r="L56" s="7"/>
      <c r="M56" s="7" t="n">
        <v>358</v>
      </c>
      <c r="N56" s="7"/>
      <c r="O56" s="7"/>
    </row>
    <row r="57" customFormat="false" ht="15" hidden="false" customHeight="false" outlineLevel="0" collapsed="false">
      <c r="A57" s="5" t="n">
        <v>56</v>
      </c>
      <c r="B57" s="5" t="s">
        <v>265</v>
      </c>
      <c r="C57" s="5" t="s">
        <v>266</v>
      </c>
      <c r="D57" s="5" t="s">
        <v>267</v>
      </c>
      <c r="E57" s="6" t="s">
        <v>59</v>
      </c>
      <c r="F57" s="5" t="s">
        <v>118</v>
      </c>
      <c r="G57" s="5" t="s">
        <v>268</v>
      </c>
      <c r="H57" s="7" t="n">
        <v>2892</v>
      </c>
      <c r="I57" s="8" t="n">
        <f aca="false">H57/$H$202</f>
        <v>0.00292341501778108</v>
      </c>
      <c r="J57" s="5" t="s">
        <v>62</v>
      </c>
      <c r="K57" s="7" t="n">
        <v>1572</v>
      </c>
      <c r="L57" s="7"/>
      <c r="M57" s="7" t="n">
        <v>943</v>
      </c>
      <c r="N57" s="7" t="n">
        <v>198</v>
      </c>
      <c r="O57" s="7"/>
    </row>
    <row r="58" customFormat="false" ht="15" hidden="false" customHeight="false" outlineLevel="0" collapsed="false">
      <c r="A58" s="5" t="n">
        <v>57</v>
      </c>
      <c r="B58" s="5" t="s">
        <v>269</v>
      </c>
      <c r="C58" s="5" t="s">
        <v>270</v>
      </c>
      <c r="D58" s="5" t="s">
        <v>271</v>
      </c>
      <c r="E58" s="6" t="s">
        <v>59</v>
      </c>
      <c r="F58" s="5" t="s">
        <v>60</v>
      </c>
      <c r="G58" s="5" t="s">
        <v>95</v>
      </c>
      <c r="H58" s="7" t="n">
        <v>2890</v>
      </c>
      <c r="I58" s="8" t="n">
        <f aca="false">H58/$H$202</f>
        <v>0.00292139329231926</v>
      </c>
      <c r="J58" s="5" t="s">
        <v>62</v>
      </c>
      <c r="K58" s="7" t="n">
        <v>46</v>
      </c>
      <c r="L58" s="7"/>
      <c r="M58" s="7" t="n">
        <v>103</v>
      </c>
      <c r="N58" s="7"/>
      <c r="O58" s="7" t="n">
        <v>2711</v>
      </c>
    </row>
    <row r="59" customFormat="false" ht="15" hidden="false" customHeight="false" outlineLevel="0" collapsed="false">
      <c r="A59" s="5" t="n">
        <v>58</v>
      </c>
      <c r="B59" s="5" t="s">
        <v>272</v>
      </c>
      <c r="C59" s="5" t="s">
        <v>273</v>
      </c>
      <c r="D59" s="5" t="s">
        <v>274</v>
      </c>
      <c r="E59" s="6" t="s">
        <v>59</v>
      </c>
      <c r="F59" s="5" t="s">
        <v>275</v>
      </c>
      <c r="G59" s="5" t="s">
        <v>276</v>
      </c>
      <c r="H59" s="7" t="n">
        <v>2848</v>
      </c>
      <c r="I59" s="8" t="n">
        <f aca="false">H59/$H$202</f>
        <v>0.0028789370576212</v>
      </c>
      <c r="J59" s="5" t="s">
        <v>62</v>
      </c>
      <c r="K59" s="7" t="n">
        <v>13</v>
      </c>
      <c r="L59" s="7"/>
      <c r="M59" s="7" t="n">
        <v>648</v>
      </c>
      <c r="N59" s="7" t="n">
        <v>2187</v>
      </c>
      <c r="O59" s="7"/>
    </row>
    <row r="60" customFormat="false" ht="15" hidden="false" customHeight="false" outlineLevel="0" collapsed="false">
      <c r="A60" s="5" t="n">
        <v>59</v>
      </c>
      <c r="B60" s="5" t="s">
        <v>277</v>
      </c>
      <c r="C60" s="5" t="s">
        <v>278</v>
      </c>
      <c r="D60" s="5" t="s">
        <v>279</v>
      </c>
      <c r="E60" s="9" t="s">
        <v>66</v>
      </c>
      <c r="F60" s="5" t="s">
        <v>280</v>
      </c>
      <c r="G60" s="5" t="s">
        <v>281</v>
      </c>
      <c r="H60" s="7" t="n">
        <v>2797</v>
      </c>
      <c r="I60" s="8" t="n">
        <f aca="false">H60/$H$202</f>
        <v>0.00282738305834498</v>
      </c>
      <c r="J60" s="5" t="s">
        <v>69</v>
      </c>
      <c r="K60" s="7"/>
      <c r="L60" s="7"/>
      <c r="M60" s="7"/>
      <c r="N60" s="7"/>
      <c r="O60" s="7"/>
    </row>
    <row r="61" customFormat="false" ht="15" hidden="false" customHeight="false" outlineLevel="0" collapsed="false">
      <c r="A61" s="5" t="n">
        <v>60</v>
      </c>
      <c r="B61" s="5" t="s">
        <v>282</v>
      </c>
      <c r="C61" s="5" t="s">
        <v>283</v>
      </c>
      <c r="D61" s="5" t="s">
        <v>284</v>
      </c>
      <c r="E61" s="9" t="s">
        <v>66</v>
      </c>
      <c r="F61" s="5" t="s">
        <v>280</v>
      </c>
      <c r="G61" s="5" t="s">
        <v>281</v>
      </c>
      <c r="H61" s="7" t="n">
        <v>2751</v>
      </c>
      <c r="I61" s="8" t="n">
        <f aca="false">H61/$H$202</f>
        <v>0.00278088337272328</v>
      </c>
      <c r="J61" s="5" t="s">
        <v>69</v>
      </c>
      <c r="K61" s="7" t="n">
        <v>640</v>
      </c>
      <c r="L61" s="7"/>
      <c r="M61" s="7" t="n">
        <v>207</v>
      </c>
      <c r="N61" s="7"/>
      <c r="O61" s="7"/>
    </row>
    <row r="62" customFormat="false" ht="15" hidden="false" customHeight="false" outlineLevel="0" collapsed="false">
      <c r="A62" s="5" t="n">
        <v>61</v>
      </c>
      <c r="B62" s="5" t="s">
        <v>285</v>
      </c>
      <c r="C62" s="5" t="s">
        <v>286</v>
      </c>
      <c r="D62" s="5" t="s">
        <v>287</v>
      </c>
      <c r="E62" s="9" t="s">
        <v>66</v>
      </c>
      <c r="F62" s="5" t="s">
        <v>280</v>
      </c>
      <c r="G62" s="5" t="s">
        <v>281</v>
      </c>
      <c r="H62" s="7" t="n">
        <v>2749</v>
      </c>
      <c r="I62" s="8" t="n">
        <f aca="false">H62/$H$202</f>
        <v>0.00277886164726147</v>
      </c>
      <c r="J62" s="5" t="s">
        <v>69</v>
      </c>
      <c r="K62" s="7" t="n">
        <v>630</v>
      </c>
      <c r="L62" s="7"/>
      <c r="M62" s="7" t="n">
        <v>212</v>
      </c>
      <c r="N62" s="7"/>
      <c r="O62" s="7"/>
    </row>
    <row r="63" customFormat="false" ht="15" hidden="false" customHeight="false" outlineLevel="0" collapsed="false">
      <c r="A63" s="5" t="n">
        <v>62</v>
      </c>
      <c r="B63" s="5" t="s">
        <v>288</v>
      </c>
      <c r="C63" s="5" t="s">
        <v>289</v>
      </c>
      <c r="D63" s="5" t="s">
        <v>290</v>
      </c>
      <c r="E63" s="6" t="s">
        <v>59</v>
      </c>
      <c r="F63" s="5" t="s">
        <v>139</v>
      </c>
      <c r="G63" s="5" t="s">
        <v>140</v>
      </c>
      <c r="H63" s="7" t="n">
        <v>2744</v>
      </c>
      <c r="I63" s="8" t="n">
        <f aca="false">H63/$H$202</f>
        <v>0.00277380733360694</v>
      </c>
      <c r="J63" s="5" t="s">
        <v>62</v>
      </c>
      <c r="K63" s="7" t="n">
        <v>400</v>
      </c>
      <c r="L63" s="7"/>
      <c r="M63" s="7" t="n">
        <v>1552</v>
      </c>
      <c r="N63" s="7"/>
      <c r="O63" s="7"/>
    </row>
    <row r="64" customFormat="false" ht="15" hidden="false" customHeight="false" outlineLevel="0" collapsed="false">
      <c r="A64" s="5" t="n">
        <v>63</v>
      </c>
      <c r="B64" s="5" t="s">
        <v>291</v>
      </c>
      <c r="C64" s="5" t="s">
        <v>292</v>
      </c>
      <c r="D64" s="5" t="s">
        <v>293</v>
      </c>
      <c r="E64" s="9" t="s">
        <v>66</v>
      </c>
      <c r="F64" s="5" t="s">
        <v>280</v>
      </c>
      <c r="G64" s="5" t="s">
        <v>281</v>
      </c>
      <c r="H64" s="7" t="n">
        <v>2738</v>
      </c>
      <c r="I64" s="8" t="n">
        <f aca="false">H64/$H$202</f>
        <v>0.0027677421572215</v>
      </c>
      <c r="J64" s="5" t="s">
        <v>69</v>
      </c>
      <c r="K64" s="7" t="n">
        <v>643</v>
      </c>
      <c r="L64" s="7"/>
      <c r="M64" s="7" t="n">
        <v>207</v>
      </c>
      <c r="N64" s="7"/>
      <c r="O64" s="7"/>
    </row>
    <row r="65" customFormat="false" ht="15" hidden="false" customHeight="false" outlineLevel="0" collapsed="false">
      <c r="A65" s="5" t="n">
        <v>64</v>
      </c>
      <c r="B65" s="5" t="s">
        <v>294</v>
      </c>
      <c r="C65" s="5" t="s">
        <v>295</v>
      </c>
      <c r="D65" s="5" t="s">
        <v>295</v>
      </c>
      <c r="E65" s="6" t="s">
        <v>59</v>
      </c>
      <c r="F65" s="5" t="s">
        <v>139</v>
      </c>
      <c r="G65" s="5" t="s">
        <v>140</v>
      </c>
      <c r="H65" s="7" t="n">
        <v>2731</v>
      </c>
      <c r="I65" s="8" t="n">
        <f aca="false">H65/$H$202</f>
        <v>0.00276066611810516</v>
      </c>
      <c r="J65" s="5" t="s">
        <v>62</v>
      </c>
      <c r="K65" s="7" t="n">
        <v>262</v>
      </c>
      <c r="L65" s="7"/>
      <c r="M65" s="7" t="n">
        <v>1944</v>
      </c>
      <c r="N65" s="7"/>
      <c r="O65" s="7"/>
    </row>
    <row r="66" customFormat="false" ht="15" hidden="false" customHeight="false" outlineLevel="0" collapsed="false">
      <c r="A66" s="5" t="n">
        <v>65</v>
      </c>
      <c r="B66" s="5" t="s">
        <v>296</v>
      </c>
      <c r="C66" s="5" t="s">
        <v>297</v>
      </c>
      <c r="D66" s="5" t="s">
        <v>298</v>
      </c>
      <c r="E66" s="9" t="s">
        <v>66</v>
      </c>
      <c r="F66" s="5" t="s">
        <v>280</v>
      </c>
      <c r="G66" s="5" t="s">
        <v>281</v>
      </c>
      <c r="H66" s="7" t="n">
        <v>2721</v>
      </c>
      <c r="I66" s="8" t="n">
        <f aca="false">H66/$H$202</f>
        <v>0.0027505574907961</v>
      </c>
      <c r="J66" s="5" t="s">
        <v>69</v>
      </c>
      <c r="K66" s="7" t="n">
        <v>640</v>
      </c>
      <c r="L66" s="7"/>
      <c r="M66" s="7" t="n">
        <v>175</v>
      </c>
      <c r="N66" s="7"/>
      <c r="O66" s="7"/>
    </row>
    <row r="67" customFormat="false" ht="15" hidden="false" customHeight="false" outlineLevel="0" collapsed="false">
      <c r="A67" s="5" t="n">
        <v>66</v>
      </c>
      <c r="B67" s="5" t="s">
        <v>299</v>
      </c>
      <c r="C67" s="5" t="s">
        <v>300</v>
      </c>
      <c r="D67" s="5" t="s">
        <v>301</v>
      </c>
      <c r="E67" s="9" t="s">
        <v>66</v>
      </c>
      <c r="F67" s="5" t="s">
        <v>280</v>
      </c>
      <c r="G67" s="5" t="s">
        <v>281</v>
      </c>
      <c r="H67" s="7" t="n">
        <v>2718</v>
      </c>
      <c r="I67" s="8" t="n">
        <f aca="false">H67/$H$202</f>
        <v>0.00274752490260338</v>
      </c>
      <c r="J67" s="5" t="s">
        <v>69</v>
      </c>
      <c r="K67" s="7" t="n">
        <v>643</v>
      </c>
      <c r="L67" s="7"/>
      <c r="M67" s="7" t="n">
        <v>195</v>
      </c>
      <c r="N67" s="7" t="n">
        <v>243</v>
      </c>
      <c r="O67" s="7"/>
    </row>
    <row r="68" customFormat="false" ht="15" hidden="false" customHeight="false" outlineLevel="0" collapsed="false">
      <c r="A68" s="5" t="n">
        <v>67</v>
      </c>
      <c r="B68" s="5" t="s">
        <v>302</v>
      </c>
      <c r="C68" s="5" t="s">
        <v>303</v>
      </c>
      <c r="D68" s="5" t="s">
        <v>304</v>
      </c>
      <c r="E68" s="9" t="s">
        <v>66</v>
      </c>
      <c r="F68" s="5" t="s">
        <v>280</v>
      </c>
      <c r="G68" s="5" t="s">
        <v>281</v>
      </c>
      <c r="H68" s="7" t="n">
        <v>2682</v>
      </c>
      <c r="I68" s="8" t="n">
        <f aca="false">H68/$H$202</f>
        <v>0.00271113384429075</v>
      </c>
      <c r="J68" s="5" t="s">
        <v>69</v>
      </c>
      <c r="K68" s="7" t="n">
        <v>646</v>
      </c>
      <c r="L68" s="7"/>
      <c r="M68" s="7" t="n">
        <v>190</v>
      </c>
      <c r="N68" s="7"/>
      <c r="O68" s="7"/>
    </row>
    <row r="69" customFormat="false" ht="15" hidden="false" customHeight="false" outlineLevel="0" collapsed="false">
      <c r="A69" s="5" t="n">
        <v>68</v>
      </c>
      <c r="B69" s="5" t="s">
        <v>305</v>
      </c>
      <c r="C69" s="5" t="s">
        <v>306</v>
      </c>
      <c r="D69" s="5" t="s">
        <v>307</v>
      </c>
      <c r="E69" s="9" t="s">
        <v>66</v>
      </c>
      <c r="F69" s="5" t="s">
        <v>280</v>
      </c>
      <c r="G69" s="5" t="s">
        <v>281</v>
      </c>
      <c r="H69" s="7" t="n">
        <v>2680</v>
      </c>
      <c r="I69" s="8" t="n">
        <f aca="false">H69/$H$202</f>
        <v>0.00270911211882894</v>
      </c>
      <c r="J69" s="5" t="s">
        <v>69</v>
      </c>
      <c r="K69" s="7" t="n">
        <v>659</v>
      </c>
      <c r="L69" s="7"/>
      <c r="M69" s="7" t="n">
        <v>179</v>
      </c>
      <c r="N69" s="7"/>
      <c r="O69" s="7"/>
    </row>
    <row r="70" customFormat="false" ht="15" hidden="false" customHeight="false" outlineLevel="0" collapsed="false">
      <c r="A70" s="5" t="n">
        <v>69</v>
      </c>
      <c r="B70" s="5" t="s">
        <v>308</v>
      </c>
      <c r="C70" s="5" t="s">
        <v>309</v>
      </c>
      <c r="D70" s="5" t="s">
        <v>310</v>
      </c>
      <c r="E70" s="9" t="s">
        <v>66</v>
      </c>
      <c r="F70" s="5" t="s">
        <v>280</v>
      </c>
      <c r="G70" s="5" t="s">
        <v>281</v>
      </c>
      <c r="H70" s="7" t="n">
        <v>2648</v>
      </c>
      <c r="I70" s="8" t="n">
        <f aca="false">H70/$H$202</f>
        <v>0.00267676451143993</v>
      </c>
      <c r="J70" s="5" t="s">
        <v>69</v>
      </c>
      <c r="K70" s="7" t="n">
        <v>658</v>
      </c>
      <c r="L70" s="7"/>
      <c r="M70" s="7" t="n">
        <v>170</v>
      </c>
      <c r="N70" s="7"/>
      <c r="O70" s="7"/>
    </row>
    <row r="71" customFormat="false" ht="15" hidden="false" customHeight="false" outlineLevel="0" collapsed="false">
      <c r="A71" s="5" t="n">
        <v>70</v>
      </c>
      <c r="B71" s="5" t="s">
        <v>311</v>
      </c>
      <c r="C71" s="5" t="s">
        <v>312</v>
      </c>
      <c r="D71" s="5" t="s">
        <v>313</v>
      </c>
      <c r="E71" s="9" t="s">
        <v>66</v>
      </c>
      <c r="F71" s="5" t="s">
        <v>280</v>
      </c>
      <c r="G71" s="5" t="s">
        <v>281</v>
      </c>
      <c r="H71" s="7" t="n">
        <v>2635</v>
      </c>
      <c r="I71" s="8" t="n">
        <f aca="false">H71/$H$202</f>
        <v>0.00266362329593815</v>
      </c>
      <c r="J71" s="5" t="s">
        <v>69</v>
      </c>
      <c r="K71" s="7" t="n">
        <v>642</v>
      </c>
      <c r="L71" s="7"/>
      <c r="M71" s="7" t="n">
        <v>168</v>
      </c>
      <c r="N71" s="7"/>
      <c r="O71" s="7"/>
    </row>
    <row r="72" customFormat="false" ht="15" hidden="false" customHeight="false" outlineLevel="0" collapsed="false">
      <c r="A72" s="5" t="n">
        <v>71</v>
      </c>
      <c r="B72" s="5" t="s">
        <v>314</v>
      </c>
      <c r="C72" s="5" t="s">
        <v>315</v>
      </c>
      <c r="D72" s="5" t="s">
        <v>316</v>
      </c>
      <c r="E72" s="9" t="s">
        <v>66</v>
      </c>
      <c r="F72" s="5" t="s">
        <v>280</v>
      </c>
      <c r="G72" s="5" t="s">
        <v>281</v>
      </c>
      <c r="H72" s="7" t="n">
        <v>2615</v>
      </c>
      <c r="I72" s="8" t="n">
        <f aca="false">H72/$H$202</f>
        <v>0.00264340604132003</v>
      </c>
      <c r="J72" s="5" t="s">
        <v>69</v>
      </c>
      <c r="K72" s="7" t="n">
        <v>644</v>
      </c>
      <c r="L72" s="7"/>
      <c r="M72" s="7" t="n">
        <v>210</v>
      </c>
      <c r="N72" s="7"/>
      <c r="O72" s="7"/>
    </row>
    <row r="73" customFormat="false" ht="15" hidden="false" customHeight="false" outlineLevel="0" collapsed="false">
      <c r="A73" s="5" t="n">
        <v>72</v>
      </c>
      <c r="B73" s="5" t="s">
        <v>317</v>
      </c>
      <c r="C73" s="5" t="s">
        <v>318</v>
      </c>
      <c r="D73" s="5" t="s">
        <v>319</v>
      </c>
      <c r="E73" s="9" t="s">
        <v>66</v>
      </c>
      <c r="F73" s="5" t="s">
        <v>251</v>
      </c>
      <c r="G73" s="5" t="s">
        <v>252</v>
      </c>
      <c r="H73" s="7" t="n">
        <v>2602</v>
      </c>
      <c r="I73" s="8" t="n">
        <f aca="false">H73/$H$202</f>
        <v>0.00263026482581824</v>
      </c>
      <c r="J73" s="5" t="s">
        <v>69</v>
      </c>
      <c r="K73" s="7"/>
      <c r="L73" s="7"/>
      <c r="M73" s="7" t="n">
        <v>51</v>
      </c>
      <c r="N73" s="7"/>
      <c r="O73" s="7"/>
    </row>
    <row r="74" customFormat="false" ht="15" hidden="false" customHeight="false" outlineLevel="0" collapsed="false">
      <c r="A74" s="5" t="n">
        <v>73</v>
      </c>
      <c r="B74" s="5" t="s">
        <v>320</v>
      </c>
      <c r="C74" s="5" t="s">
        <v>321</v>
      </c>
      <c r="D74" s="5" t="s">
        <v>322</v>
      </c>
      <c r="E74" s="9" t="s">
        <v>66</v>
      </c>
      <c r="F74" s="5" t="s">
        <v>280</v>
      </c>
      <c r="G74" s="5" t="s">
        <v>281</v>
      </c>
      <c r="H74" s="7" t="n">
        <v>2591</v>
      </c>
      <c r="I74" s="8" t="n">
        <f aca="false">H74/$H$202</f>
        <v>0.00261914533577827</v>
      </c>
      <c r="J74" s="5" t="s">
        <v>69</v>
      </c>
      <c r="K74" s="7" t="n">
        <v>641</v>
      </c>
      <c r="L74" s="7"/>
      <c r="M74" s="7" t="n">
        <v>166</v>
      </c>
      <c r="N74" s="7"/>
      <c r="O74" s="7"/>
    </row>
    <row r="75" customFormat="false" ht="15" hidden="false" customHeight="false" outlineLevel="0" collapsed="false">
      <c r="A75" s="5" t="n">
        <v>74</v>
      </c>
      <c r="B75" s="5" t="s">
        <v>323</v>
      </c>
      <c r="C75" s="5" t="s">
        <v>324</v>
      </c>
      <c r="D75" s="5" t="s">
        <v>325</v>
      </c>
      <c r="E75" s="9" t="s">
        <v>66</v>
      </c>
      <c r="F75" s="5" t="s">
        <v>280</v>
      </c>
      <c r="G75" s="5" t="s">
        <v>281</v>
      </c>
      <c r="H75" s="7" t="n">
        <v>2579</v>
      </c>
      <c r="I75" s="8" t="n">
        <f aca="false">H75/$H$202</f>
        <v>0.0026070149830074</v>
      </c>
      <c r="J75" s="5" t="s">
        <v>69</v>
      </c>
      <c r="K75" s="7" t="n">
        <v>654</v>
      </c>
      <c r="L75" s="7"/>
      <c r="M75" s="7" t="n">
        <v>182</v>
      </c>
      <c r="N75" s="7" t="n">
        <v>249</v>
      </c>
      <c r="O75" s="7"/>
    </row>
    <row r="76" customFormat="false" ht="15" hidden="false" customHeight="false" outlineLevel="0" collapsed="false">
      <c r="A76" s="5" t="n">
        <v>75</v>
      </c>
      <c r="B76" s="5" t="s">
        <v>326</v>
      </c>
      <c r="C76" s="5" t="s">
        <v>327</v>
      </c>
      <c r="D76" s="5" t="s">
        <v>328</v>
      </c>
      <c r="E76" s="9" t="s">
        <v>66</v>
      </c>
      <c r="F76" s="5" t="s">
        <v>280</v>
      </c>
      <c r="G76" s="5" t="s">
        <v>281</v>
      </c>
      <c r="H76" s="7" t="n">
        <v>2543</v>
      </c>
      <c r="I76" s="8" t="n">
        <f aca="false">H76/$H$202</f>
        <v>0.00257062392469477</v>
      </c>
      <c r="J76" s="5" t="s">
        <v>69</v>
      </c>
      <c r="K76" s="7" t="n">
        <v>642</v>
      </c>
      <c r="L76" s="7"/>
      <c r="M76" s="7" t="n">
        <v>157</v>
      </c>
      <c r="N76" s="7" t="n">
        <v>240</v>
      </c>
      <c r="O76" s="7"/>
    </row>
    <row r="77" customFormat="false" ht="15" hidden="false" customHeight="false" outlineLevel="0" collapsed="false">
      <c r="A77" s="5" t="n">
        <v>76</v>
      </c>
      <c r="B77" s="5" t="s">
        <v>329</v>
      </c>
      <c r="C77" s="5" t="s">
        <v>330</v>
      </c>
      <c r="D77" s="5" t="s">
        <v>331</v>
      </c>
      <c r="E77" s="9" t="s">
        <v>66</v>
      </c>
      <c r="F77" s="5" t="s">
        <v>280</v>
      </c>
      <c r="G77" s="5" t="s">
        <v>281</v>
      </c>
      <c r="H77" s="7" t="n">
        <v>2529</v>
      </c>
      <c r="I77" s="8" t="n">
        <f aca="false">H77/$H$202</f>
        <v>0.00255647184646208</v>
      </c>
      <c r="J77" s="5" t="s">
        <v>69</v>
      </c>
      <c r="K77" s="7" t="n">
        <v>650</v>
      </c>
      <c r="L77" s="7"/>
      <c r="M77" s="7" t="n">
        <v>140</v>
      </c>
      <c r="N77" s="7" t="n">
        <v>244</v>
      </c>
      <c r="O77" s="7"/>
    </row>
    <row r="78" customFormat="false" ht="15" hidden="false" customHeight="false" outlineLevel="0" collapsed="false">
      <c r="A78" s="5" t="n">
        <v>77</v>
      </c>
      <c r="B78" s="5" t="s">
        <v>332</v>
      </c>
      <c r="C78" s="5" t="s">
        <v>333</v>
      </c>
      <c r="D78" s="5" t="s">
        <v>334</v>
      </c>
      <c r="E78" s="9" t="s">
        <v>66</v>
      </c>
      <c r="F78" s="5" t="s">
        <v>280</v>
      </c>
      <c r="G78" s="5" t="s">
        <v>281</v>
      </c>
      <c r="H78" s="7" t="n">
        <v>2460</v>
      </c>
      <c r="I78" s="8" t="n">
        <f aca="false">H78/$H$202</f>
        <v>0.00248672231802955</v>
      </c>
      <c r="J78" s="5" t="s">
        <v>69</v>
      </c>
      <c r="K78" s="7" t="n">
        <v>646</v>
      </c>
      <c r="L78" s="7"/>
      <c r="M78" s="7" t="n">
        <v>198</v>
      </c>
      <c r="N78" s="7"/>
      <c r="O78" s="7"/>
    </row>
    <row r="79" customFormat="false" ht="15" hidden="false" customHeight="false" outlineLevel="0" collapsed="false">
      <c r="A79" s="5" t="n">
        <v>78</v>
      </c>
      <c r="B79" s="5" t="s">
        <v>335</v>
      </c>
      <c r="C79" s="5" t="s">
        <v>336</v>
      </c>
      <c r="D79" s="5" t="s">
        <v>337</v>
      </c>
      <c r="E79" s="9" t="s">
        <v>66</v>
      </c>
      <c r="F79" s="5" t="s">
        <v>280</v>
      </c>
      <c r="G79" s="5" t="s">
        <v>281</v>
      </c>
      <c r="H79" s="7" t="n">
        <v>2452</v>
      </c>
      <c r="I79" s="8" t="n">
        <f aca="false">H79/$H$202</f>
        <v>0.0024786354161823</v>
      </c>
      <c r="J79" s="5" t="s">
        <v>69</v>
      </c>
      <c r="K79" s="7" t="n">
        <v>646</v>
      </c>
      <c r="L79" s="7"/>
      <c r="M79" s="7" t="n">
        <v>185</v>
      </c>
      <c r="N79" s="7"/>
      <c r="O79" s="7"/>
    </row>
    <row r="80" customFormat="false" ht="15" hidden="false" customHeight="false" outlineLevel="0" collapsed="false">
      <c r="A80" s="5" t="n">
        <v>79</v>
      </c>
      <c r="B80" s="5" t="s">
        <v>338</v>
      </c>
      <c r="C80" s="5" t="s">
        <v>339</v>
      </c>
      <c r="D80" s="5" t="s">
        <v>340</v>
      </c>
      <c r="E80" s="9" t="s">
        <v>66</v>
      </c>
      <c r="F80" s="5" t="s">
        <v>99</v>
      </c>
      <c r="G80" s="5" t="s">
        <v>100</v>
      </c>
      <c r="H80" s="7" t="n">
        <v>2444</v>
      </c>
      <c r="I80" s="8" t="n">
        <f aca="false">H80/$H$202</f>
        <v>0.00247054851433504</v>
      </c>
      <c r="J80" s="5" t="s">
        <v>69</v>
      </c>
      <c r="K80" s="7" t="n">
        <v>673</v>
      </c>
      <c r="L80" s="7"/>
      <c r="M80" s="7" t="n">
        <v>205</v>
      </c>
      <c r="N80" s="7"/>
      <c r="O80" s="7"/>
    </row>
    <row r="81" customFormat="false" ht="15" hidden="false" customHeight="false" outlineLevel="0" collapsed="false">
      <c r="A81" s="5" t="n">
        <v>80</v>
      </c>
      <c r="B81" s="5" t="s">
        <v>341</v>
      </c>
      <c r="C81" s="5" t="s">
        <v>342</v>
      </c>
      <c r="D81" s="5" t="s">
        <v>343</v>
      </c>
      <c r="E81" s="6" t="s">
        <v>59</v>
      </c>
      <c r="F81" s="5" t="s">
        <v>60</v>
      </c>
      <c r="G81" s="5" t="s">
        <v>95</v>
      </c>
      <c r="H81" s="7" t="n">
        <v>2400</v>
      </c>
      <c r="I81" s="8" t="n">
        <f aca="false">H81/$H$202</f>
        <v>0.00242607055417517</v>
      </c>
      <c r="J81" s="5" t="s">
        <v>62</v>
      </c>
      <c r="K81" s="7"/>
      <c r="L81" s="7"/>
      <c r="M81" s="7"/>
      <c r="N81" s="7"/>
      <c r="O81" s="7"/>
    </row>
    <row r="82" customFormat="false" ht="15" hidden="false" customHeight="false" outlineLevel="0" collapsed="false">
      <c r="A82" s="5" t="n">
        <v>81</v>
      </c>
      <c r="B82" s="5" t="s">
        <v>344</v>
      </c>
      <c r="C82" s="5" t="s">
        <v>345</v>
      </c>
      <c r="D82" s="5" t="s">
        <v>346</v>
      </c>
      <c r="E82" s="6" t="s">
        <v>59</v>
      </c>
      <c r="F82" s="5" t="s">
        <v>347</v>
      </c>
      <c r="G82" s="5" t="s">
        <v>348</v>
      </c>
      <c r="H82" s="7" t="n">
        <v>2333</v>
      </c>
      <c r="I82" s="8" t="n">
        <f aca="false">H82/$H$202</f>
        <v>0.00235834275120444</v>
      </c>
      <c r="J82" s="5" t="s">
        <v>62</v>
      </c>
      <c r="K82" s="7" t="n">
        <v>1359</v>
      </c>
      <c r="L82" s="7"/>
      <c r="M82" s="7" t="n">
        <v>63</v>
      </c>
      <c r="N82" s="7" t="n">
        <v>305</v>
      </c>
      <c r="O82" s="7"/>
    </row>
    <row r="83" customFormat="false" ht="15" hidden="false" customHeight="false" outlineLevel="0" collapsed="false">
      <c r="A83" s="5" t="n">
        <v>82</v>
      </c>
      <c r="B83" s="5" t="s">
        <v>349</v>
      </c>
      <c r="C83" s="5" t="s">
        <v>350</v>
      </c>
      <c r="D83" s="5" t="s">
        <v>351</v>
      </c>
      <c r="E83" s="9" t="s">
        <v>66</v>
      </c>
      <c r="F83" s="5" t="s">
        <v>280</v>
      </c>
      <c r="G83" s="5" t="s">
        <v>281</v>
      </c>
      <c r="H83" s="7" t="n">
        <v>2321</v>
      </c>
      <c r="I83" s="8" t="n">
        <f aca="false">H83/$H$202</f>
        <v>0.00234621239843357</v>
      </c>
      <c r="J83" s="5" t="s">
        <v>69</v>
      </c>
      <c r="K83" s="7"/>
      <c r="L83" s="7"/>
      <c r="M83" s="7"/>
      <c r="N83" s="7"/>
      <c r="O83" s="7"/>
    </row>
    <row r="84" customFormat="false" ht="15" hidden="false" customHeight="false" outlineLevel="0" collapsed="false">
      <c r="A84" s="5" t="n">
        <v>83</v>
      </c>
      <c r="B84" s="5" t="s">
        <v>352</v>
      </c>
      <c r="C84" s="5" t="s">
        <v>353</v>
      </c>
      <c r="D84" s="5" t="s">
        <v>354</v>
      </c>
      <c r="E84" s="9" t="s">
        <v>66</v>
      </c>
      <c r="F84" s="5" t="s">
        <v>218</v>
      </c>
      <c r="G84" s="5" t="s">
        <v>355</v>
      </c>
      <c r="H84" s="7" t="n">
        <v>2268</v>
      </c>
      <c r="I84" s="8" t="n">
        <f aca="false">H84/$H$202</f>
        <v>0.00229263667369553</v>
      </c>
      <c r="J84" s="5" t="s">
        <v>69</v>
      </c>
      <c r="K84" s="7" t="n">
        <v>781</v>
      </c>
      <c r="L84" s="7"/>
      <c r="M84" s="7" t="n">
        <v>692</v>
      </c>
      <c r="N84" s="7" t="n">
        <v>112</v>
      </c>
      <c r="O84" s="7"/>
    </row>
    <row r="85" customFormat="false" ht="15" hidden="false" customHeight="false" outlineLevel="0" collapsed="false">
      <c r="A85" s="5" t="n">
        <v>84</v>
      </c>
      <c r="B85" s="5" t="s">
        <v>356</v>
      </c>
      <c r="C85" s="5" t="s">
        <v>357</v>
      </c>
      <c r="D85" s="5" t="s">
        <v>358</v>
      </c>
      <c r="E85" s="9" t="s">
        <v>66</v>
      </c>
      <c r="F85" s="5" t="s">
        <v>280</v>
      </c>
      <c r="G85" s="5" t="s">
        <v>281</v>
      </c>
      <c r="H85" s="7" t="n">
        <v>2265</v>
      </c>
      <c r="I85" s="8" t="n">
        <f aca="false">H85/$H$202</f>
        <v>0.00228960408550281</v>
      </c>
      <c r="J85" s="5" t="s">
        <v>69</v>
      </c>
      <c r="K85" s="7" t="n">
        <v>791</v>
      </c>
      <c r="L85" s="7"/>
      <c r="M85" s="7" t="n">
        <v>84</v>
      </c>
      <c r="N85" s="7" t="n">
        <v>263</v>
      </c>
      <c r="O85" s="7"/>
    </row>
    <row r="86" customFormat="false" ht="15" hidden="false" customHeight="false" outlineLevel="0" collapsed="false">
      <c r="A86" s="5" t="n">
        <v>85</v>
      </c>
      <c r="B86" s="5" t="s">
        <v>359</v>
      </c>
      <c r="C86" s="5" t="s">
        <v>360</v>
      </c>
      <c r="D86" s="5" t="s">
        <v>361</v>
      </c>
      <c r="E86" s="6" t="s">
        <v>59</v>
      </c>
      <c r="F86" s="5" t="s">
        <v>89</v>
      </c>
      <c r="G86" s="5" t="s">
        <v>362</v>
      </c>
      <c r="H86" s="7" t="n">
        <v>2227</v>
      </c>
      <c r="I86" s="8" t="n">
        <f aca="false">H86/$H$202</f>
        <v>0.00225119130172837</v>
      </c>
      <c r="J86" s="5" t="s">
        <v>62</v>
      </c>
      <c r="K86" s="7" t="n">
        <v>773</v>
      </c>
      <c r="L86" s="7"/>
      <c r="M86" s="7" t="n">
        <v>206</v>
      </c>
      <c r="N86" s="7" t="n">
        <v>111</v>
      </c>
      <c r="O86" s="7"/>
    </row>
    <row r="87" customFormat="false" ht="15" hidden="false" customHeight="false" outlineLevel="0" collapsed="false">
      <c r="A87" s="5" t="n">
        <v>86</v>
      </c>
      <c r="B87" s="5" t="s">
        <v>363</v>
      </c>
      <c r="C87" s="5" t="s">
        <v>364</v>
      </c>
      <c r="D87" s="5" t="s">
        <v>364</v>
      </c>
      <c r="E87" s="6" t="s">
        <v>59</v>
      </c>
      <c r="F87" s="5" t="s">
        <v>251</v>
      </c>
      <c r="G87" s="5" t="s">
        <v>365</v>
      </c>
      <c r="H87" s="7" t="n">
        <v>2128</v>
      </c>
      <c r="I87" s="8" t="n">
        <f aca="false">H87/$H$202</f>
        <v>0.00215111589136865</v>
      </c>
      <c r="J87" s="5" t="s">
        <v>62</v>
      </c>
      <c r="K87" s="7" t="n">
        <v>981</v>
      </c>
      <c r="L87" s="7"/>
      <c r="M87" s="7" t="n">
        <v>608</v>
      </c>
      <c r="N87" s="7" t="n">
        <v>361</v>
      </c>
      <c r="O87" s="7"/>
    </row>
    <row r="88" customFormat="false" ht="15" hidden="false" customHeight="false" outlineLevel="0" collapsed="false">
      <c r="A88" s="5" t="n">
        <v>87</v>
      </c>
      <c r="B88" s="5" t="s">
        <v>366</v>
      </c>
      <c r="C88" s="5" t="s">
        <v>367</v>
      </c>
      <c r="D88" s="5" t="s">
        <v>368</v>
      </c>
      <c r="E88" s="9" t="s">
        <v>66</v>
      </c>
      <c r="F88" s="5" t="s">
        <v>280</v>
      </c>
      <c r="G88" s="5" t="s">
        <v>281</v>
      </c>
      <c r="H88" s="7" t="n">
        <v>2115</v>
      </c>
      <c r="I88" s="8" t="n">
        <f aca="false">H88/$H$202</f>
        <v>0.00213797467586687</v>
      </c>
      <c r="J88" s="5" t="s">
        <v>69</v>
      </c>
      <c r="K88" s="7" t="n">
        <v>598</v>
      </c>
      <c r="L88" s="7"/>
      <c r="M88" s="7" t="n">
        <v>111</v>
      </c>
      <c r="N88" s="7"/>
      <c r="O88" s="7"/>
    </row>
    <row r="89" customFormat="false" ht="15" hidden="false" customHeight="false" outlineLevel="0" collapsed="false">
      <c r="A89" s="5" t="n">
        <v>88</v>
      </c>
      <c r="B89" s="5" t="s">
        <v>369</v>
      </c>
      <c r="C89" s="5" t="s">
        <v>370</v>
      </c>
      <c r="D89" s="5" t="s">
        <v>371</v>
      </c>
      <c r="E89" s="6" t="s">
        <v>59</v>
      </c>
      <c r="F89" s="5" t="s">
        <v>251</v>
      </c>
      <c r="G89" s="5" t="s">
        <v>365</v>
      </c>
      <c r="H89" s="7" t="n">
        <v>2056</v>
      </c>
      <c r="I89" s="8" t="n">
        <f aca="false">H89/$H$202</f>
        <v>0.00207833377474339</v>
      </c>
      <c r="J89" s="5" t="s">
        <v>62</v>
      </c>
      <c r="K89" s="7" t="n">
        <v>21521</v>
      </c>
      <c r="L89" s="7"/>
      <c r="M89" s="7" t="n">
        <v>1546</v>
      </c>
      <c r="N89" s="7" t="n">
        <v>457</v>
      </c>
      <c r="O89" s="7"/>
    </row>
    <row r="90" customFormat="false" ht="15" hidden="false" customHeight="false" outlineLevel="0" collapsed="false">
      <c r="A90" s="5" t="n">
        <v>89</v>
      </c>
      <c r="B90" s="5" t="s">
        <v>372</v>
      </c>
      <c r="C90" s="5" t="s">
        <v>373</v>
      </c>
      <c r="D90" s="5" t="s">
        <v>374</v>
      </c>
      <c r="E90" s="9" t="s">
        <v>66</v>
      </c>
      <c r="F90" s="5" t="s">
        <v>60</v>
      </c>
      <c r="G90" s="5" t="s">
        <v>95</v>
      </c>
      <c r="H90" s="7" t="n">
        <v>1951</v>
      </c>
      <c r="I90" s="8" t="n">
        <f aca="false">H90/$H$202</f>
        <v>0.00197219318799823</v>
      </c>
      <c r="J90" s="5" t="s">
        <v>69</v>
      </c>
      <c r="K90" s="7"/>
      <c r="L90" s="7"/>
      <c r="M90" s="7" t="n">
        <v>157</v>
      </c>
      <c r="N90" s="7"/>
      <c r="O90" s="7" t="n">
        <v>1296</v>
      </c>
    </row>
    <row r="91" customFormat="false" ht="15" hidden="false" customHeight="false" outlineLevel="0" collapsed="false">
      <c r="A91" s="5" t="n">
        <v>90</v>
      </c>
      <c r="B91" s="5" t="s">
        <v>375</v>
      </c>
      <c r="C91" s="5" t="s">
        <v>376</v>
      </c>
      <c r="D91" s="5" t="s">
        <v>376</v>
      </c>
      <c r="E91" s="6" t="s">
        <v>59</v>
      </c>
      <c r="F91" s="5" t="s">
        <v>118</v>
      </c>
      <c r="G91" s="5" t="s">
        <v>377</v>
      </c>
      <c r="H91" s="7" t="n">
        <v>1943</v>
      </c>
      <c r="I91" s="8" t="n">
        <f aca="false">H91/$H$202</f>
        <v>0.00196410628615098</v>
      </c>
      <c r="J91" s="5" t="s">
        <v>62</v>
      </c>
      <c r="K91" s="7" t="n">
        <v>1060</v>
      </c>
      <c r="L91" s="7"/>
      <c r="M91" s="7" t="n">
        <v>323</v>
      </c>
      <c r="N91" s="7"/>
      <c r="O91" s="7"/>
    </row>
    <row r="92" customFormat="false" ht="15" hidden="false" customHeight="false" outlineLevel="0" collapsed="false">
      <c r="A92" s="5" t="n">
        <v>91</v>
      </c>
      <c r="B92" s="5" t="s">
        <v>378</v>
      </c>
      <c r="C92" s="5" t="s">
        <v>379</v>
      </c>
      <c r="D92" s="5" t="s">
        <v>380</v>
      </c>
      <c r="E92" s="9" t="s">
        <v>66</v>
      </c>
      <c r="F92" s="5" t="s">
        <v>280</v>
      </c>
      <c r="G92" s="5" t="s">
        <v>281</v>
      </c>
      <c r="H92" s="7" t="n">
        <v>1910</v>
      </c>
      <c r="I92" s="8" t="n">
        <f aca="false">H92/$H$202</f>
        <v>0.00193074781603107</v>
      </c>
      <c r="J92" s="5" t="s">
        <v>69</v>
      </c>
      <c r="K92" s="7" t="n">
        <v>496</v>
      </c>
      <c r="L92" s="7"/>
      <c r="M92" s="7" t="n">
        <v>117</v>
      </c>
      <c r="N92" s="7"/>
      <c r="O92" s="7"/>
    </row>
    <row r="93" customFormat="false" ht="15" hidden="false" customHeight="false" outlineLevel="0" collapsed="false">
      <c r="A93" s="5" t="n">
        <v>92</v>
      </c>
      <c r="B93" s="5" t="s">
        <v>381</v>
      </c>
      <c r="C93" s="5" t="s">
        <v>382</v>
      </c>
      <c r="D93" s="5" t="s">
        <v>383</v>
      </c>
      <c r="E93" s="6" t="s">
        <v>59</v>
      </c>
      <c r="F93" s="5" t="s">
        <v>60</v>
      </c>
      <c r="G93" s="5" t="s">
        <v>95</v>
      </c>
      <c r="H93" s="7" t="n">
        <v>1900</v>
      </c>
      <c r="I93" s="8" t="n">
        <f aca="false">H93/$H$202</f>
        <v>0.00192063918872201</v>
      </c>
      <c r="J93" s="5" t="s">
        <v>62</v>
      </c>
      <c r="K93" s="7" t="n">
        <v>625</v>
      </c>
      <c r="L93" s="7"/>
      <c r="M93" s="7" t="n">
        <v>1089</v>
      </c>
      <c r="N93" s="7"/>
      <c r="O93" s="7"/>
    </row>
    <row r="94" customFormat="false" ht="15" hidden="false" customHeight="false" outlineLevel="0" collapsed="false">
      <c r="A94" s="5" t="n">
        <v>93</v>
      </c>
      <c r="B94" s="5" t="s">
        <v>384</v>
      </c>
      <c r="C94" s="5" t="s">
        <v>385</v>
      </c>
      <c r="D94" s="5" t="s">
        <v>386</v>
      </c>
      <c r="E94" s="6" t="s">
        <v>59</v>
      </c>
      <c r="F94" s="5" t="s">
        <v>73</v>
      </c>
      <c r="G94" s="5" t="s">
        <v>74</v>
      </c>
      <c r="H94" s="7" t="n">
        <v>1867</v>
      </c>
      <c r="I94" s="8" t="n">
        <f aca="false">H94/$H$202</f>
        <v>0.0018872807186021</v>
      </c>
      <c r="J94" s="5" t="s">
        <v>62</v>
      </c>
      <c r="K94" s="7" t="n">
        <v>1005</v>
      </c>
      <c r="L94" s="7"/>
      <c r="M94" s="7" t="n">
        <v>48</v>
      </c>
      <c r="N94" s="7" t="n">
        <v>336</v>
      </c>
      <c r="O94" s="7"/>
    </row>
    <row r="95" customFormat="false" ht="15" hidden="false" customHeight="false" outlineLevel="0" collapsed="false">
      <c r="A95" s="5" t="n">
        <v>94</v>
      </c>
      <c r="B95" s="5" t="s">
        <v>387</v>
      </c>
      <c r="C95" s="5" t="s">
        <v>388</v>
      </c>
      <c r="D95" s="5" t="s">
        <v>389</v>
      </c>
      <c r="E95" s="9" t="s">
        <v>66</v>
      </c>
      <c r="F95" s="5" t="s">
        <v>67</v>
      </c>
      <c r="G95" s="5" t="s">
        <v>78</v>
      </c>
      <c r="H95" s="7" t="n">
        <v>1819</v>
      </c>
      <c r="I95" s="8" t="n">
        <f aca="false">H95/$H$202</f>
        <v>0.00183875930751859</v>
      </c>
      <c r="J95" s="5" t="s">
        <v>69</v>
      </c>
      <c r="K95" s="7"/>
      <c r="L95" s="7"/>
      <c r="M95" s="7" t="n">
        <v>25</v>
      </c>
      <c r="N95" s="7"/>
      <c r="O95" s="7"/>
    </row>
    <row r="96" customFormat="false" ht="15" hidden="false" customHeight="false" outlineLevel="0" collapsed="false">
      <c r="A96" s="5" t="n">
        <v>95</v>
      </c>
      <c r="B96" s="5" t="s">
        <v>390</v>
      </c>
      <c r="C96" s="5" t="s">
        <v>391</v>
      </c>
      <c r="D96" s="5" t="s">
        <v>392</v>
      </c>
      <c r="E96" s="9" t="s">
        <v>66</v>
      </c>
      <c r="F96" s="5" t="s">
        <v>393</v>
      </c>
      <c r="G96" s="5" t="s">
        <v>394</v>
      </c>
      <c r="H96" s="7" t="n">
        <v>1817</v>
      </c>
      <c r="I96" s="8" t="n">
        <f aca="false">H96/$H$202</f>
        <v>0.00183673758205678</v>
      </c>
      <c r="J96" s="5" t="s">
        <v>69</v>
      </c>
      <c r="K96" s="7" t="n">
        <v>475</v>
      </c>
      <c r="L96" s="7"/>
      <c r="M96" s="7" t="n">
        <v>535</v>
      </c>
      <c r="N96" s="7" t="n">
        <v>755</v>
      </c>
      <c r="O96" s="7"/>
    </row>
    <row r="97" customFormat="false" ht="15" hidden="false" customHeight="false" outlineLevel="0" collapsed="false">
      <c r="A97" s="5" t="n">
        <v>96</v>
      </c>
      <c r="B97" s="5" t="s">
        <v>395</v>
      </c>
      <c r="C97" s="5" t="s">
        <v>396</v>
      </c>
      <c r="D97" s="5" t="s">
        <v>397</v>
      </c>
      <c r="E97" s="6" t="s">
        <v>59</v>
      </c>
      <c r="F97" s="5" t="s">
        <v>188</v>
      </c>
      <c r="G97" s="5" t="s">
        <v>189</v>
      </c>
      <c r="H97" s="7" t="n">
        <v>1809</v>
      </c>
      <c r="I97" s="8" t="n">
        <f aca="false">H97/$H$202</f>
        <v>0.00182865068020953</v>
      </c>
      <c r="J97" s="5" t="s">
        <v>62</v>
      </c>
      <c r="K97" s="7" t="n">
        <v>558</v>
      </c>
      <c r="L97" s="7"/>
      <c r="M97" s="7" t="n">
        <v>172</v>
      </c>
      <c r="N97" s="7" t="n">
        <v>611</v>
      </c>
      <c r="O97" s="7"/>
    </row>
    <row r="98" customFormat="false" ht="15" hidden="false" customHeight="false" outlineLevel="0" collapsed="false">
      <c r="A98" s="5" t="n">
        <v>97</v>
      </c>
      <c r="B98" s="5" t="s">
        <v>398</v>
      </c>
      <c r="C98" s="5" t="s">
        <v>399</v>
      </c>
      <c r="D98" s="5" t="s">
        <v>399</v>
      </c>
      <c r="E98" s="6" t="s">
        <v>59</v>
      </c>
      <c r="F98" s="5" t="s">
        <v>275</v>
      </c>
      <c r="G98" s="5" t="s">
        <v>276</v>
      </c>
      <c r="H98" s="7" t="n">
        <v>1807</v>
      </c>
      <c r="I98" s="8" t="n">
        <f aca="false">H98/$H$202</f>
        <v>0.00182662895474772</v>
      </c>
      <c r="J98" s="5" t="s">
        <v>62</v>
      </c>
      <c r="K98" s="7"/>
      <c r="L98" s="7"/>
      <c r="M98" s="7" t="n">
        <v>580</v>
      </c>
      <c r="N98" s="7" t="n">
        <v>1004</v>
      </c>
      <c r="O98" s="7"/>
    </row>
    <row r="99" customFormat="false" ht="15" hidden="false" customHeight="false" outlineLevel="0" collapsed="false">
      <c r="A99" s="5" t="n">
        <v>98</v>
      </c>
      <c r="B99" s="5" t="s">
        <v>400</v>
      </c>
      <c r="C99" s="5" t="s">
        <v>401</v>
      </c>
      <c r="D99" s="5" t="s">
        <v>402</v>
      </c>
      <c r="E99" s="6" t="s">
        <v>59</v>
      </c>
      <c r="F99" s="5" t="s">
        <v>139</v>
      </c>
      <c r="G99" s="5" t="s">
        <v>140</v>
      </c>
      <c r="H99" s="7" t="n">
        <v>1755</v>
      </c>
      <c r="I99" s="8" t="n">
        <f aca="false">H99/$H$202</f>
        <v>0.00177406409274059</v>
      </c>
      <c r="J99" s="5" t="s">
        <v>62</v>
      </c>
      <c r="K99" s="7" t="n">
        <v>124</v>
      </c>
      <c r="L99" s="7"/>
      <c r="M99" s="7" t="n">
        <v>1331</v>
      </c>
      <c r="N99" s="7" t="n">
        <v>211</v>
      </c>
      <c r="O99" s="7"/>
    </row>
    <row r="100" customFormat="false" ht="15" hidden="false" customHeight="false" outlineLevel="0" collapsed="false">
      <c r="A100" s="5" t="n">
        <v>99</v>
      </c>
      <c r="B100" s="5" t="s">
        <v>403</v>
      </c>
      <c r="C100" s="5" t="s">
        <v>404</v>
      </c>
      <c r="D100" s="5" t="s">
        <v>405</v>
      </c>
      <c r="E100" s="10" t="s">
        <v>82</v>
      </c>
      <c r="F100" s="5" t="s">
        <v>60</v>
      </c>
      <c r="G100" s="5" t="s">
        <v>95</v>
      </c>
      <c r="H100" s="7" t="n">
        <v>1600</v>
      </c>
      <c r="I100" s="8" t="n">
        <f aca="false">H100/$H$202</f>
        <v>0.00161738036945011</v>
      </c>
      <c r="J100" s="5" t="s">
        <v>406</v>
      </c>
      <c r="K100" s="7"/>
      <c r="L100" s="7"/>
      <c r="M100" s="7"/>
      <c r="N100" s="7"/>
      <c r="O100" s="7"/>
    </row>
    <row r="101" customFormat="false" ht="15" hidden="false" customHeight="false" outlineLevel="0" collapsed="false">
      <c r="A101" s="5" t="n">
        <v>100</v>
      </c>
      <c r="B101" s="5" t="s">
        <v>407</v>
      </c>
      <c r="C101" s="5" t="s">
        <v>408</v>
      </c>
      <c r="D101" s="5" t="s">
        <v>408</v>
      </c>
      <c r="E101" s="6" t="s">
        <v>59</v>
      </c>
      <c r="F101" s="5" t="s">
        <v>139</v>
      </c>
      <c r="G101" s="5" t="s">
        <v>140</v>
      </c>
      <c r="H101" s="7" t="n">
        <v>1591</v>
      </c>
      <c r="I101" s="8" t="n">
        <f aca="false">H101/$H$202</f>
        <v>0.00160828260487195</v>
      </c>
      <c r="J101" s="5" t="s">
        <v>62</v>
      </c>
      <c r="K101" s="7" t="n">
        <v>98</v>
      </c>
      <c r="L101" s="7"/>
      <c r="M101" s="7" t="n">
        <v>1113</v>
      </c>
      <c r="N101" s="7"/>
      <c r="O101" s="7"/>
    </row>
    <row r="102" customFormat="false" ht="15" hidden="false" customHeight="false" outlineLevel="0" collapsed="false">
      <c r="A102" s="5" t="n">
        <v>101</v>
      </c>
      <c r="B102" s="5" t="s">
        <v>409</v>
      </c>
      <c r="C102" s="5" t="s">
        <v>410</v>
      </c>
      <c r="D102" s="5" t="s">
        <v>411</v>
      </c>
      <c r="E102" s="9" t="s">
        <v>66</v>
      </c>
      <c r="F102" s="5" t="s">
        <v>73</v>
      </c>
      <c r="G102" s="5" t="s">
        <v>74</v>
      </c>
      <c r="H102" s="7" t="n">
        <v>1500</v>
      </c>
      <c r="I102" s="8" t="n">
        <f aca="false">H102/$H$202</f>
        <v>0.00151629409635948</v>
      </c>
      <c r="J102" s="5" t="s">
        <v>412</v>
      </c>
      <c r="K102" s="7"/>
      <c r="L102" s="7"/>
      <c r="M102" s="7"/>
      <c r="N102" s="7"/>
      <c r="O102" s="7"/>
    </row>
    <row r="103" customFormat="false" ht="15" hidden="false" customHeight="false" outlineLevel="0" collapsed="false">
      <c r="A103" s="5" t="n">
        <v>102</v>
      </c>
      <c r="B103" s="5" t="s">
        <v>413</v>
      </c>
      <c r="C103" s="5" t="s">
        <v>414</v>
      </c>
      <c r="D103" s="5" t="s">
        <v>415</v>
      </c>
      <c r="E103" s="6" t="s">
        <v>59</v>
      </c>
      <c r="F103" s="5" t="s">
        <v>118</v>
      </c>
      <c r="G103" s="5" t="s">
        <v>223</v>
      </c>
      <c r="H103" s="7" t="n">
        <v>1497</v>
      </c>
      <c r="I103" s="8" t="n">
        <f aca="false">H103/$H$202</f>
        <v>0.00151326150816676</v>
      </c>
      <c r="J103" s="5" t="s">
        <v>62</v>
      </c>
      <c r="K103" s="7" t="n">
        <v>729</v>
      </c>
      <c r="L103" s="7"/>
      <c r="M103" s="7" t="n">
        <v>567</v>
      </c>
      <c r="N103" s="7"/>
      <c r="O103" s="7"/>
    </row>
    <row r="104" customFormat="false" ht="15" hidden="false" customHeight="false" outlineLevel="0" collapsed="false">
      <c r="A104" s="5" t="n">
        <v>103</v>
      </c>
      <c r="B104" s="5" t="s">
        <v>416</v>
      </c>
      <c r="C104" s="5" t="s">
        <v>417</v>
      </c>
      <c r="D104" s="5" t="s">
        <v>418</v>
      </c>
      <c r="E104" s="10" t="s">
        <v>82</v>
      </c>
      <c r="F104" s="5" t="s">
        <v>393</v>
      </c>
      <c r="G104" s="5" t="s">
        <v>394</v>
      </c>
      <c r="H104" s="7" t="n">
        <v>1481</v>
      </c>
      <c r="I104" s="8" t="n">
        <f aca="false">H104/$H$202</f>
        <v>0.00149708770447226</v>
      </c>
      <c r="J104" s="5" t="s">
        <v>419</v>
      </c>
      <c r="K104" s="7" t="n">
        <v>917</v>
      </c>
      <c r="L104" s="7"/>
      <c r="M104" s="7" t="n">
        <v>302</v>
      </c>
      <c r="N104" s="7" t="n">
        <v>234</v>
      </c>
      <c r="O104" s="7"/>
    </row>
    <row r="105" customFormat="false" ht="15" hidden="false" customHeight="false" outlineLevel="0" collapsed="false">
      <c r="A105" s="5" t="n">
        <v>104</v>
      </c>
      <c r="B105" s="5" t="s">
        <v>420</v>
      </c>
      <c r="C105" s="5" t="s">
        <v>421</v>
      </c>
      <c r="D105" s="5" t="s">
        <v>422</v>
      </c>
      <c r="E105" s="6" t="s">
        <v>59</v>
      </c>
      <c r="F105" s="5" t="s">
        <v>60</v>
      </c>
      <c r="G105" s="5" t="s">
        <v>423</v>
      </c>
      <c r="H105" s="7" t="n">
        <v>1474</v>
      </c>
      <c r="I105" s="8" t="n">
        <f aca="false">H105/$H$202</f>
        <v>0.00149001166535591</v>
      </c>
      <c r="J105" s="5" t="s">
        <v>62</v>
      </c>
      <c r="K105" s="7" t="n">
        <v>397</v>
      </c>
      <c r="L105" s="7"/>
      <c r="M105" s="7" t="n">
        <v>327</v>
      </c>
      <c r="N105" s="7" t="n">
        <v>38</v>
      </c>
      <c r="O105" s="7" t="n">
        <v>621</v>
      </c>
    </row>
    <row r="106" customFormat="false" ht="15" hidden="false" customHeight="false" outlineLevel="0" collapsed="false">
      <c r="A106" s="5" t="n">
        <v>105</v>
      </c>
      <c r="B106" s="5" t="s">
        <v>424</v>
      </c>
      <c r="C106" s="5" t="s">
        <v>425</v>
      </c>
      <c r="D106" s="5" t="s">
        <v>426</v>
      </c>
      <c r="E106" s="9" t="s">
        <v>66</v>
      </c>
      <c r="F106" s="5" t="s">
        <v>347</v>
      </c>
      <c r="G106" s="5" t="s">
        <v>348</v>
      </c>
      <c r="H106" s="7" t="n">
        <v>1439</v>
      </c>
      <c r="I106" s="8" t="n">
        <f aca="false">H106/$H$202</f>
        <v>0.00145463146977419</v>
      </c>
      <c r="J106" s="5" t="s">
        <v>69</v>
      </c>
      <c r="K106" s="7" t="n">
        <v>281</v>
      </c>
      <c r="L106" s="7"/>
      <c r="M106" s="7" t="n">
        <v>78</v>
      </c>
      <c r="N106" s="7" t="n">
        <v>31</v>
      </c>
      <c r="O106" s="7" t="n">
        <v>742</v>
      </c>
    </row>
    <row r="107" customFormat="false" ht="15" hidden="false" customHeight="false" outlineLevel="0" collapsed="false">
      <c r="A107" s="5" t="n">
        <v>106</v>
      </c>
      <c r="B107" s="5" t="s">
        <v>427</v>
      </c>
      <c r="C107" s="5" t="s">
        <v>428</v>
      </c>
      <c r="D107" s="5" t="s">
        <v>429</v>
      </c>
      <c r="E107" s="6" t="s">
        <v>59</v>
      </c>
      <c r="F107" s="5" t="s">
        <v>89</v>
      </c>
      <c r="G107" s="5" t="s">
        <v>90</v>
      </c>
      <c r="H107" s="7" t="n">
        <v>1428</v>
      </c>
      <c r="I107" s="8" t="n">
        <f aca="false">H107/$H$202</f>
        <v>0.00144351197973422</v>
      </c>
      <c r="J107" s="5" t="s">
        <v>62</v>
      </c>
      <c r="K107" s="7" t="n">
        <v>572</v>
      </c>
      <c r="L107" s="7"/>
      <c r="M107" s="7" t="n">
        <v>18</v>
      </c>
      <c r="N107" s="7"/>
      <c r="O107" s="7"/>
    </row>
    <row r="108" customFormat="false" ht="15" hidden="false" customHeight="false" outlineLevel="0" collapsed="false">
      <c r="A108" s="5" t="n">
        <v>107</v>
      </c>
      <c r="B108" s="5" t="s">
        <v>430</v>
      </c>
      <c r="C108" s="5" t="s">
        <v>431</v>
      </c>
      <c r="D108" s="5" t="s">
        <v>432</v>
      </c>
      <c r="E108" s="9" t="s">
        <v>66</v>
      </c>
      <c r="F108" s="5" t="s">
        <v>107</v>
      </c>
      <c r="G108" s="5" t="s">
        <v>108</v>
      </c>
      <c r="H108" s="7" t="n">
        <v>1402</v>
      </c>
      <c r="I108" s="8" t="n">
        <f aca="false">H108/$H$202</f>
        <v>0.00141722954873066</v>
      </c>
      <c r="J108" s="5" t="s">
        <v>69</v>
      </c>
      <c r="K108" s="7" t="n">
        <v>200</v>
      </c>
      <c r="L108" s="7"/>
      <c r="M108" s="7" t="n">
        <v>28</v>
      </c>
      <c r="N108" s="7"/>
      <c r="O108" s="7"/>
    </row>
    <row r="109" customFormat="false" ht="15" hidden="false" customHeight="false" outlineLevel="0" collapsed="false">
      <c r="A109" s="5" t="n">
        <v>108</v>
      </c>
      <c r="B109" s="5" t="s">
        <v>433</v>
      </c>
      <c r="C109" s="5" t="s">
        <v>434</v>
      </c>
      <c r="D109" s="5" t="s">
        <v>435</v>
      </c>
      <c r="E109" s="10" t="s">
        <v>82</v>
      </c>
      <c r="F109" s="5" t="s">
        <v>60</v>
      </c>
      <c r="G109" s="5" t="s">
        <v>95</v>
      </c>
      <c r="H109" s="7" t="n">
        <v>1377</v>
      </c>
      <c r="I109" s="8" t="n">
        <f aca="false">H109/$H$202</f>
        <v>0.001391957980458</v>
      </c>
      <c r="J109" s="5" t="s">
        <v>436</v>
      </c>
      <c r="K109" s="7"/>
      <c r="L109" s="7"/>
      <c r="M109" s="7"/>
      <c r="N109" s="7"/>
      <c r="O109" s="7"/>
    </row>
    <row r="110" customFormat="false" ht="15" hidden="false" customHeight="false" outlineLevel="0" collapsed="false">
      <c r="A110" s="5" t="n">
        <v>109</v>
      </c>
      <c r="B110" s="5" t="s">
        <v>437</v>
      </c>
      <c r="C110" s="5" t="s">
        <v>438</v>
      </c>
      <c r="D110" s="5" t="s">
        <v>439</v>
      </c>
      <c r="E110" s="6" t="s">
        <v>59</v>
      </c>
      <c r="F110" s="5" t="s">
        <v>139</v>
      </c>
      <c r="G110" s="5" t="s">
        <v>140</v>
      </c>
      <c r="H110" s="7" t="n">
        <v>1298</v>
      </c>
      <c r="I110" s="8" t="n">
        <f aca="false">H110/$H$202</f>
        <v>0.0013120998247164</v>
      </c>
      <c r="J110" s="5" t="s">
        <v>62</v>
      </c>
      <c r="K110" s="7" t="n">
        <v>269</v>
      </c>
      <c r="L110" s="7"/>
      <c r="M110" s="7" t="n">
        <v>730</v>
      </c>
      <c r="N110" s="7"/>
      <c r="O110" s="7"/>
    </row>
    <row r="111" customFormat="false" ht="15" hidden="false" customHeight="false" outlineLevel="0" collapsed="false">
      <c r="A111" s="5" t="n">
        <v>110</v>
      </c>
      <c r="B111" s="5" t="s">
        <v>440</v>
      </c>
      <c r="C111" s="5" t="s">
        <v>441</v>
      </c>
      <c r="D111" s="5" t="s">
        <v>442</v>
      </c>
      <c r="E111" s="10" t="s">
        <v>82</v>
      </c>
      <c r="F111" s="5" t="s">
        <v>393</v>
      </c>
      <c r="G111" s="5" t="s">
        <v>394</v>
      </c>
      <c r="H111" s="7" t="n">
        <v>1295</v>
      </c>
      <c r="I111" s="8" t="n">
        <f aca="false">H111/$H$202</f>
        <v>0.00130906723652368</v>
      </c>
      <c r="J111" s="5" t="s">
        <v>443</v>
      </c>
      <c r="K111" s="7"/>
      <c r="L111" s="7"/>
      <c r="M111" s="7" t="n">
        <v>897</v>
      </c>
      <c r="N111" s="7" t="n">
        <v>234</v>
      </c>
      <c r="O111" s="7"/>
    </row>
    <row r="112" customFormat="false" ht="15" hidden="false" customHeight="false" outlineLevel="0" collapsed="false">
      <c r="A112" s="5" t="n">
        <v>111</v>
      </c>
      <c r="B112" s="5" t="s">
        <v>444</v>
      </c>
      <c r="C112" s="5" t="s">
        <v>445</v>
      </c>
      <c r="D112" s="5" t="s">
        <v>446</v>
      </c>
      <c r="E112" s="10" t="s">
        <v>82</v>
      </c>
      <c r="F112" s="5" t="s">
        <v>393</v>
      </c>
      <c r="G112" s="5" t="s">
        <v>394</v>
      </c>
      <c r="H112" s="7" t="n">
        <v>1276</v>
      </c>
      <c r="I112" s="8" t="n">
        <f aca="false">H112/$H$202</f>
        <v>0.00128986084463646</v>
      </c>
      <c r="J112" s="5" t="s">
        <v>447</v>
      </c>
      <c r="K112" s="7"/>
      <c r="L112" s="7"/>
      <c r="M112" s="7" t="n">
        <v>506</v>
      </c>
      <c r="N112" s="7"/>
      <c r="O112" s="7"/>
    </row>
    <row r="113" customFormat="false" ht="15" hidden="false" customHeight="false" outlineLevel="0" collapsed="false">
      <c r="A113" s="5" t="n">
        <v>112</v>
      </c>
      <c r="B113" s="5" t="s">
        <v>448</v>
      </c>
      <c r="C113" s="5" t="s">
        <v>449</v>
      </c>
      <c r="D113" s="5" t="s">
        <v>450</v>
      </c>
      <c r="E113" s="6" t="s">
        <v>59</v>
      </c>
      <c r="F113" s="5" t="s">
        <v>134</v>
      </c>
      <c r="G113" s="5" t="s">
        <v>135</v>
      </c>
      <c r="H113" s="7" t="n">
        <v>1230</v>
      </c>
      <c r="I113" s="8" t="n">
        <f aca="false">H113/$H$202</f>
        <v>0.00124336115901477</v>
      </c>
      <c r="J113" s="5" t="s">
        <v>62</v>
      </c>
      <c r="K113" s="7" t="n">
        <v>260</v>
      </c>
      <c r="L113" s="7" t="n">
        <v>782</v>
      </c>
      <c r="M113" s="7" t="n">
        <v>92</v>
      </c>
      <c r="N113" s="7"/>
      <c r="O113" s="7"/>
    </row>
    <row r="114" customFormat="false" ht="15" hidden="false" customHeight="false" outlineLevel="0" collapsed="false">
      <c r="A114" s="5" t="n">
        <v>113</v>
      </c>
      <c r="B114" s="5" t="s">
        <v>451</v>
      </c>
      <c r="C114" s="5" t="s">
        <v>452</v>
      </c>
      <c r="D114" s="5" t="s">
        <v>453</v>
      </c>
      <c r="E114" s="6" t="s">
        <v>59</v>
      </c>
      <c r="F114" s="5" t="s">
        <v>118</v>
      </c>
      <c r="G114" s="5" t="s">
        <v>223</v>
      </c>
      <c r="H114" s="7" t="n">
        <v>1149</v>
      </c>
      <c r="I114" s="8" t="n">
        <f aca="false">H114/$H$202</f>
        <v>0.00116148127781136</v>
      </c>
      <c r="J114" s="5" t="s">
        <v>62</v>
      </c>
      <c r="K114" s="7" t="n">
        <v>345</v>
      </c>
      <c r="L114" s="7"/>
      <c r="M114" s="7" t="n">
        <v>116</v>
      </c>
      <c r="N114" s="7"/>
      <c r="O114" s="7"/>
    </row>
    <row r="115" customFormat="false" ht="15" hidden="false" customHeight="false" outlineLevel="0" collapsed="false">
      <c r="A115" s="5" t="n">
        <v>114</v>
      </c>
      <c r="B115" s="5" t="s">
        <v>454</v>
      </c>
      <c r="C115" s="5" t="s">
        <v>455</v>
      </c>
      <c r="D115" s="5" t="s">
        <v>456</v>
      </c>
      <c r="E115" s="6" t="s">
        <v>59</v>
      </c>
      <c r="F115" s="5" t="s">
        <v>60</v>
      </c>
      <c r="G115" s="5" t="s">
        <v>95</v>
      </c>
      <c r="H115" s="7" t="n">
        <v>1133</v>
      </c>
      <c r="I115" s="8" t="n">
        <f aca="false">H115/$H$202</f>
        <v>0.00114530747411686</v>
      </c>
      <c r="J115" s="5" t="s">
        <v>62</v>
      </c>
      <c r="K115" s="7" t="n">
        <v>567</v>
      </c>
      <c r="L115" s="7"/>
      <c r="M115" s="7" t="n">
        <v>375</v>
      </c>
      <c r="N115" s="7"/>
      <c r="O115" s="7"/>
    </row>
    <row r="116" customFormat="false" ht="15" hidden="false" customHeight="false" outlineLevel="0" collapsed="false">
      <c r="A116" s="5" t="n">
        <v>115</v>
      </c>
      <c r="B116" s="5" t="s">
        <v>457</v>
      </c>
      <c r="C116" s="5" t="s">
        <v>458</v>
      </c>
      <c r="D116" s="5" t="s">
        <v>459</v>
      </c>
      <c r="E116" s="9" t="s">
        <v>66</v>
      </c>
      <c r="F116" s="5" t="s">
        <v>134</v>
      </c>
      <c r="G116" s="5" t="s">
        <v>460</v>
      </c>
      <c r="H116" s="7" t="n">
        <v>1110</v>
      </c>
      <c r="I116" s="8" t="n">
        <f aca="false">H116/$H$202</f>
        <v>0.00112205763130601</v>
      </c>
      <c r="J116" s="5" t="s">
        <v>461</v>
      </c>
      <c r="K116" s="7" t="n">
        <v>386</v>
      </c>
      <c r="L116" s="7"/>
      <c r="M116" s="7" t="n">
        <v>54</v>
      </c>
      <c r="N116" s="7"/>
      <c r="O116" s="7"/>
    </row>
    <row r="117" customFormat="false" ht="15" hidden="false" customHeight="false" outlineLevel="0" collapsed="false">
      <c r="A117" s="5" t="n">
        <v>116</v>
      </c>
      <c r="B117" s="5" t="s">
        <v>462</v>
      </c>
      <c r="C117" s="5" t="s">
        <v>463</v>
      </c>
      <c r="D117" s="5" t="s">
        <v>464</v>
      </c>
      <c r="E117" s="9" t="s">
        <v>66</v>
      </c>
      <c r="F117" s="5" t="s">
        <v>257</v>
      </c>
      <c r="G117" s="5" t="s">
        <v>258</v>
      </c>
      <c r="H117" s="7" t="n">
        <v>1107</v>
      </c>
      <c r="I117" s="8" t="n">
        <f aca="false">H117/$H$202</f>
        <v>0.0011190250431133</v>
      </c>
      <c r="J117" s="5" t="s">
        <v>465</v>
      </c>
      <c r="K117" s="7" t="n">
        <v>395</v>
      </c>
      <c r="L117" s="7"/>
      <c r="M117" s="7" t="n">
        <v>387</v>
      </c>
      <c r="N117" s="7" t="n">
        <v>143</v>
      </c>
      <c r="O117" s="7"/>
    </row>
    <row r="118" customFormat="false" ht="15" hidden="false" customHeight="false" outlineLevel="0" collapsed="false">
      <c r="A118" s="5" t="n">
        <v>117</v>
      </c>
      <c r="B118" s="5" t="s">
        <v>466</v>
      </c>
      <c r="C118" s="5" t="s">
        <v>467</v>
      </c>
      <c r="D118" s="5" t="s">
        <v>468</v>
      </c>
      <c r="E118" s="10" t="s">
        <v>82</v>
      </c>
      <c r="F118" s="5" t="s">
        <v>347</v>
      </c>
      <c r="G118" s="5" t="s">
        <v>348</v>
      </c>
      <c r="H118" s="7" t="n">
        <v>1100</v>
      </c>
      <c r="I118" s="8" t="n">
        <f aca="false">H118/$H$202</f>
        <v>0.00111194900399695</v>
      </c>
      <c r="J118" s="5" t="s">
        <v>469</v>
      </c>
      <c r="K118" s="7"/>
      <c r="L118" s="7"/>
      <c r="M118" s="7"/>
      <c r="N118" s="7"/>
      <c r="O118" s="7"/>
    </row>
    <row r="119" customFormat="false" ht="15" hidden="false" customHeight="false" outlineLevel="0" collapsed="false">
      <c r="A119" s="5" t="n">
        <v>118</v>
      </c>
      <c r="B119" s="5" t="s">
        <v>470</v>
      </c>
      <c r="C119" s="5" t="s">
        <v>471</v>
      </c>
      <c r="D119" s="5" t="s">
        <v>472</v>
      </c>
      <c r="E119" s="6" t="s">
        <v>59</v>
      </c>
      <c r="F119" s="5" t="s">
        <v>60</v>
      </c>
      <c r="G119" s="5" t="s">
        <v>95</v>
      </c>
      <c r="H119" s="7" t="n">
        <v>1095</v>
      </c>
      <c r="I119" s="8" t="n">
        <f aca="false">H119/$H$202</f>
        <v>0.00110689469034242</v>
      </c>
      <c r="J119" s="5" t="s">
        <v>62</v>
      </c>
      <c r="K119" s="7" t="n">
        <v>432</v>
      </c>
      <c r="L119" s="7"/>
      <c r="M119" s="7" t="n">
        <v>389</v>
      </c>
      <c r="N119" s="7" t="n">
        <v>64</v>
      </c>
      <c r="O119" s="7" t="n">
        <v>107</v>
      </c>
    </row>
    <row r="120" customFormat="false" ht="15" hidden="false" customHeight="false" outlineLevel="0" collapsed="false">
      <c r="A120" s="5" t="n">
        <v>119</v>
      </c>
      <c r="B120" s="5" t="s">
        <v>473</v>
      </c>
      <c r="C120" s="5" t="s">
        <v>474</v>
      </c>
      <c r="D120" s="5" t="s">
        <v>475</v>
      </c>
      <c r="E120" s="6" t="s">
        <v>59</v>
      </c>
      <c r="F120" s="5" t="s">
        <v>60</v>
      </c>
      <c r="G120" s="5" t="s">
        <v>95</v>
      </c>
      <c r="H120" s="7" t="n">
        <v>1093</v>
      </c>
      <c r="I120" s="8" t="n">
        <f aca="false">H120/$H$202</f>
        <v>0.00110487296488061</v>
      </c>
      <c r="J120" s="5" t="s">
        <v>62</v>
      </c>
      <c r="K120" s="7" t="n">
        <v>96</v>
      </c>
      <c r="L120" s="7"/>
      <c r="M120" s="7" t="n">
        <v>40</v>
      </c>
      <c r="N120" s="7" t="n">
        <v>16</v>
      </c>
      <c r="O120" s="7" t="n">
        <v>936</v>
      </c>
    </row>
    <row r="121" customFormat="false" ht="15" hidden="false" customHeight="false" outlineLevel="0" collapsed="false">
      <c r="A121" s="5" t="n">
        <v>120</v>
      </c>
      <c r="B121" s="5" t="s">
        <v>476</v>
      </c>
      <c r="C121" s="5" t="s">
        <v>477</v>
      </c>
      <c r="D121" s="5" t="s">
        <v>478</v>
      </c>
      <c r="E121" s="6" t="s">
        <v>59</v>
      </c>
      <c r="F121" s="5" t="s">
        <v>139</v>
      </c>
      <c r="G121" s="5" t="s">
        <v>140</v>
      </c>
      <c r="H121" s="7" t="n">
        <v>1073</v>
      </c>
      <c r="I121" s="8" t="n">
        <f aca="false">H121/$H$202</f>
        <v>0.00108465571026248</v>
      </c>
      <c r="J121" s="5" t="s">
        <v>62</v>
      </c>
      <c r="K121" s="7"/>
      <c r="L121" s="7"/>
      <c r="M121" s="7" t="n">
        <v>799</v>
      </c>
      <c r="N121" s="7" t="n">
        <v>192</v>
      </c>
      <c r="O121" s="7"/>
    </row>
    <row r="122" customFormat="false" ht="15" hidden="false" customHeight="false" outlineLevel="0" collapsed="false">
      <c r="A122" s="5" t="n">
        <v>121</v>
      </c>
      <c r="B122" s="5" t="s">
        <v>479</v>
      </c>
      <c r="C122" s="5" t="s">
        <v>480</v>
      </c>
      <c r="D122" s="5" t="s">
        <v>481</v>
      </c>
      <c r="E122" s="6" t="s">
        <v>59</v>
      </c>
      <c r="F122" s="5" t="s">
        <v>83</v>
      </c>
      <c r="G122" s="5" t="s">
        <v>84</v>
      </c>
      <c r="H122" s="7" t="n">
        <v>1067</v>
      </c>
      <c r="I122" s="8" t="n">
        <f aca="false">H122/$H$202</f>
        <v>0.00107859053387704</v>
      </c>
      <c r="J122" s="5" t="s">
        <v>62</v>
      </c>
      <c r="K122" s="7"/>
      <c r="L122" s="7"/>
      <c r="M122" s="7"/>
      <c r="N122" s="7"/>
      <c r="O122" s="7"/>
    </row>
    <row r="123" customFormat="false" ht="15" hidden="false" customHeight="false" outlineLevel="0" collapsed="false">
      <c r="A123" s="5" t="n">
        <v>122</v>
      </c>
      <c r="B123" s="5" t="s">
        <v>482</v>
      </c>
      <c r="C123" s="5" t="s">
        <v>483</v>
      </c>
      <c r="D123" s="5" t="s">
        <v>483</v>
      </c>
      <c r="E123" s="6" t="s">
        <v>59</v>
      </c>
      <c r="F123" s="5" t="s">
        <v>83</v>
      </c>
      <c r="G123" s="5" t="s">
        <v>206</v>
      </c>
      <c r="H123" s="7" t="n">
        <v>1025</v>
      </c>
      <c r="I123" s="8" t="n">
        <f aca="false">H123/$H$202</f>
        <v>0.00103613429917898</v>
      </c>
      <c r="J123" s="5" t="s">
        <v>62</v>
      </c>
      <c r="K123" s="7" t="n">
        <v>437</v>
      </c>
      <c r="L123" s="7"/>
      <c r="M123" s="7" t="n">
        <v>273</v>
      </c>
      <c r="N123" s="7" t="n">
        <v>58</v>
      </c>
      <c r="O123" s="7"/>
    </row>
    <row r="124" customFormat="false" ht="15" hidden="false" customHeight="false" outlineLevel="0" collapsed="false">
      <c r="A124" s="5" t="n">
        <v>123</v>
      </c>
      <c r="B124" s="5" t="s">
        <v>484</v>
      </c>
      <c r="C124" s="5" t="s">
        <v>485</v>
      </c>
      <c r="D124" s="5" t="s">
        <v>486</v>
      </c>
      <c r="E124" s="6" t="s">
        <v>59</v>
      </c>
      <c r="F124" s="5" t="s">
        <v>89</v>
      </c>
      <c r="G124" s="5" t="s">
        <v>90</v>
      </c>
      <c r="H124" s="7" t="n">
        <v>1012</v>
      </c>
      <c r="I124" s="8" t="n">
        <f aca="false">H124/$H$202</f>
        <v>0.0010229930836772</v>
      </c>
      <c r="J124" s="5" t="s">
        <v>62</v>
      </c>
      <c r="K124" s="7"/>
      <c r="L124" s="7"/>
      <c r="M124" s="7"/>
      <c r="N124" s="7"/>
      <c r="O124" s="7"/>
    </row>
    <row r="125" customFormat="false" ht="15" hidden="false" customHeight="false" outlineLevel="0" collapsed="false">
      <c r="A125" s="5" t="n">
        <v>124</v>
      </c>
      <c r="B125" s="5" t="s">
        <v>487</v>
      </c>
      <c r="C125" s="5" t="s">
        <v>488</v>
      </c>
      <c r="D125" s="5" t="s">
        <v>488</v>
      </c>
      <c r="E125" s="6" t="s">
        <v>59</v>
      </c>
      <c r="F125" s="5" t="s">
        <v>139</v>
      </c>
      <c r="G125" s="5" t="s">
        <v>140</v>
      </c>
      <c r="H125" s="7" t="n">
        <v>1007</v>
      </c>
      <c r="I125" s="8" t="n">
        <f aca="false">H125/$H$202</f>
        <v>0.00101793877002266</v>
      </c>
      <c r="J125" s="5" t="s">
        <v>62</v>
      </c>
      <c r="K125" s="7"/>
      <c r="L125" s="7"/>
      <c r="M125" s="7" t="n">
        <v>701</v>
      </c>
      <c r="N125" s="7"/>
      <c r="O125" s="7"/>
    </row>
    <row r="126" customFormat="false" ht="15" hidden="false" customHeight="false" outlineLevel="0" collapsed="false">
      <c r="A126" s="5" t="n">
        <v>125</v>
      </c>
      <c r="B126" s="5" t="s">
        <v>489</v>
      </c>
      <c r="C126" s="5" t="s">
        <v>490</v>
      </c>
      <c r="D126" s="5" t="s">
        <v>491</v>
      </c>
      <c r="E126" s="6" t="s">
        <v>59</v>
      </c>
      <c r="F126" s="5" t="s">
        <v>89</v>
      </c>
      <c r="G126" s="5" t="s">
        <v>90</v>
      </c>
      <c r="H126" s="7" t="n">
        <v>1000</v>
      </c>
      <c r="I126" s="8" t="n">
        <f aca="false">H126/$H$202</f>
        <v>0.00101086273090632</v>
      </c>
      <c r="J126" s="5" t="s">
        <v>492</v>
      </c>
      <c r="K126" s="7"/>
      <c r="L126" s="7"/>
      <c r="M126" s="7"/>
      <c r="N126" s="7"/>
      <c r="O126" s="7"/>
    </row>
    <row r="127" customFormat="false" ht="15" hidden="false" customHeight="false" outlineLevel="0" collapsed="false">
      <c r="A127" s="5" t="n">
        <v>126</v>
      </c>
      <c r="B127" s="5" t="s">
        <v>493</v>
      </c>
      <c r="C127" s="5" t="s">
        <v>494</v>
      </c>
      <c r="D127" s="5" t="s">
        <v>494</v>
      </c>
      <c r="E127" s="10" t="s">
        <v>82</v>
      </c>
      <c r="F127" s="5" t="s">
        <v>73</v>
      </c>
      <c r="G127" s="5" t="s">
        <v>74</v>
      </c>
      <c r="H127" s="7" t="n">
        <v>1000</v>
      </c>
      <c r="I127" s="8" t="n">
        <f aca="false">H127/$H$202</f>
        <v>0.00101086273090632</v>
      </c>
      <c r="J127" s="5" t="s">
        <v>495</v>
      </c>
      <c r="K127" s="7"/>
      <c r="L127" s="7"/>
      <c r="M127" s="7"/>
      <c r="N127" s="7"/>
      <c r="O127" s="7"/>
    </row>
    <row r="128" customFormat="false" ht="15" hidden="false" customHeight="false" outlineLevel="0" collapsed="false">
      <c r="A128" s="5" t="n">
        <v>127</v>
      </c>
      <c r="B128" s="5" t="s">
        <v>496</v>
      </c>
      <c r="C128" s="5" t="s">
        <v>497</v>
      </c>
      <c r="D128" s="5" t="s">
        <v>498</v>
      </c>
      <c r="E128" s="10" t="s">
        <v>82</v>
      </c>
      <c r="F128" s="5" t="s">
        <v>218</v>
      </c>
      <c r="G128" s="5" t="s">
        <v>355</v>
      </c>
      <c r="H128" s="7" t="n">
        <v>1000</v>
      </c>
      <c r="I128" s="8" t="n">
        <f aca="false">H128/$H$202</f>
        <v>0.00101086273090632</v>
      </c>
      <c r="J128" s="5" t="s">
        <v>499</v>
      </c>
      <c r="K128" s="7"/>
      <c r="L128" s="7"/>
      <c r="M128" s="7"/>
      <c r="N128" s="7"/>
      <c r="O128" s="7"/>
    </row>
    <row r="129" customFormat="false" ht="15" hidden="false" customHeight="false" outlineLevel="0" collapsed="false">
      <c r="A129" s="5" t="n">
        <v>128</v>
      </c>
      <c r="B129" s="5" t="s">
        <v>500</v>
      </c>
      <c r="C129" s="5" t="s">
        <v>501</v>
      </c>
      <c r="D129" s="5" t="s">
        <v>502</v>
      </c>
      <c r="E129" s="10" t="s">
        <v>82</v>
      </c>
      <c r="F129" s="5" t="s">
        <v>503</v>
      </c>
      <c r="G129" s="5" t="s">
        <v>504</v>
      </c>
      <c r="H129" s="7" t="n">
        <v>1000</v>
      </c>
      <c r="I129" s="8" t="n">
        <f aca="false">H129/$H$202</f>
        <v>0.00101086273090632</v>
      </c>
      <c r="J129" s="5" t="s">
        <v>505</v>
      </c>
      <c r="K129" s="7"/>
      <c r="L129" s="7"/>
      <c r="M129" s="7"/>
      <c r="N129" s="7"/>
      <c r="O129" s="7"/>
    </row>
    <row r="130" customFormat="false" ht="15" hidden="false" customHeight="false" outlineLevel="0" collapsed="false">
      <c r="A130" s="5" t="n">
        <v>129</v>
      </c>
      <c r="B130" s="5" t="s">
        <v>506</v>
      </c>
      <c r="C130" s="5" t="s">
        <v>507</v>
      </c>
      <c r="D130" s="5" t="s">
        <v>508</v>
      </c>
      <c r="E130" s="10" t="s">
        <v>82</v>
      </c>
      <c r="F130" s="5" t="s">
        <v>89</v>
      </c>
      <c r="G130" s="5" t="s">
        <v>90</v>
      </c>
      <c r="H130" s="7" t="n">
        <v>1000</v>
      </c>
      <c r="I130" s="8" t="n">
        <f aca="false">H130/$H$202</f>
        <v>0.00101086273090632</v>
      </c>
      <c r="J130" s="5" t="s">
        <v>509</v>
      </c>
      <c r="K130" s="7"/>
      <c r="L130" s="7"/>
      <c r="M130" s="7"/>
      <c r="N130" s="7"/>
      <c r="O130" s="7"/>
    </row>
    <row r="131" customFormat="false" ht="15" hidden="false" customHeight="false" outlineLevel="0" collapsed="false">
      <c r="A131" s="5" t="n">
        <v>130</v>
      </c>
      <c r="B131" s="5" t="s">
        <v>510</v>
      </c>
      <c r="C131" s="5" t="s">
        <v>511</v>
      </c>
      <c r="D131" s="5" t="s">
        <v>512</v>
      </c>
      <c r="E131" s="10" t="s">
        <v>82</v>
      </c>
      <c r="F131" s="5" t="s">
        <v>83</v>
      </c>
      <c r="G131" s="5" t="s">
        <v>206</v>
      </c>
      <c r="H131" s="7" t="n">
        <v>1000</v>
      </c>
      <c r="I131" s="8" t="n">
        <f aca="false">H131/$H$202</f>
        <v>0.00101086273090632</v>
      </c>
      <c r="J131" s="5" t="s">
        <v>513</v>
      </c>
      <c r="K131" s="7"/>
      <c r="L131" s="7"/>
      <c r="M131" s="7"/>
      <c r="N131" s="7"/>
      <c r="O131" s="7"/>
    </row>
    <row r="132" customFormat="false" ht="15" hidden="false" customHeight="false" outlineLevel="0" collapsed="false">
      <c r="A132" s="5" t="n">
        <v>131</v>
      </c>
      <c r="B132" s="5" t="s">
        <v>514</v>
      </c>
      <c r="C132" s="5" t="s">
        <v>515</v>
      </c>
      <c r="D132" s="5" t="s">
        <v>516</v>
      </c>
      <c r="E132" s="6" t="s">
        <v>59</v>
      </c>
      <c r="F132" s="5" t="s">
        <v>275</v>
      </c>
      <c r="G132" s="5" t="s">
        <v>276</v>
      </c>
      <c r="H132" s="7" t="n">
        <v>966</v>
      </c>
      <c r="I132" s="8" t="n">
        <f aca="false">H132/$H$202</f>
        <v>0.000976493398055504</v>
      </c>
      <c r="J132" s="5" t="s">
        <v>62</v>
      </c>
      <c r="K132" s="7"/>
      <c r="L132" s="7"/>
      <c r="M132" s="7" t="n">
        <v>305</v>
      </c>
      <c r="N132" s="7" t="n">
        <v>599</v>
      </c>
      <c r="O132" s="7"/>
    </row>
    <row r="133" customFormat="false" ht="15" hidden="false" customHeight="false" outlineLevel="0" collapsed="false">
      <c r="A133" s="5" t="n">
        <v>132</v>
      </c>
      <c r="B133" s="5" t="s">
        <v>517</v>
      </c>
      <c r="C133" s="5" t="s">
        <v>518</v>
      </c>
      <c r="D133" s="5" t="s">
        <v>519</v>
      </c>
      <c r="E133" s="9" t="s">
        <v>66</v>
      </c>
      <c r="F133" s="5" t="s">
        <v>67</v>
      </c>
      <c r="G133" s="5" t="s">
        <v>78</v>
      </c>
      <c r="H133" s="7" t="n">
        <v>965</v>
      </c>
      <c r="I133" s="8" t="n">
        <f aca="false">H133/$H$202</f>
        <v>0.000975482535324598</v>
      </c>
      <c r="J133" s="5" t="s">
        <v>520</v>
      </c>
      <c r="K133" s="7"/>
      <c r="L133" s="7"/>
      <c r="M133" s="7"/>
      <c r="N133" s="7"/>
      <c r="O133" s="7"/>
    </row>
    <row r="134" customFormat="false" ht="15" hidden="false" customHeight="false" outlineLevel="0" collapsed="false">
      <c r="A134" s="5" t="n">
        <v>133</v>
      </c>
      <c r="B134" s="5" t="s">
        <v>521</v>
      </c>
      <c r="C134" s="5" t="s">
        <v>522</v>
      </c>
      <c r="D134" s="5" t="s">
        <v>523</v>
      </c>
      <c r="E134" s="6" t="s">
        <v>59</v>
      </c>
      <c r="F134" s="5" t="s">
        <v>251</v>
      </c>
      <c r="G134" s="5" t="s">
        <v>252</v>
      </c>
      <c r="H134" s="7" t="n">
        <v>929</v>
      </c>
      <c r="I134" s="8" t="n">
        <f aca="false">H134/$H$202</f>
        <v>0.000939091477011971</v>
      </c>
      <c r="J134" s="5" t="s">
        <v>62</v>
      </c>
      <c r="K134" s="7" t="n">
        <v>639</v>
      </c>
      <c r="L134" s="7"/>
      <c r="M134" s="7" t="n">
        <v>82</v>
      </c>
      <c r="N134" s="7" t="n">
        <v>152</v>
      </c>
      <c r="O134" s="7"/>
    </row>
    <row r="135" customFormat="false" ht="15" hidden="false" customHeight="false" outlineLevel="0" collapsed="false">
      <c r="A135" s="5" t="n">
        <v>134</v>
      </c>
      <c r="B135" s="5" t="s">
        <v>524</v>
      </c>
      <c r="C135" s="5" t="s">
        <v>525</v>
      </c>
      <c r="D135" s="5" t="s">
        <v>526</v>
      </c>
      <c r="E135" s="9" t="s">
        <v>66</v>
      </c>
      <c r="F135" s="5" t="s">
        <v>134</v>
      </c>
      <c r="G135" s="5" t="s">
        <v>135</v>
      </c>
      <c r="H135" s="7" t="n">
        <v>927</v>
      </c>
      <c r="I135" s="8" t="n">
        <f aca="false">H135/$H$202</f>
        <v>0.000937069751550158</v>
      </c>
      <c r="J135" s="5" t="s">
        <v>527</v>
      </c>
      <c r="K135" s="7" t="n">
        <v>637</v>
      </c>
      <c r="L135" s="7"/>
      <c r="M135" s="7" t="n">
        <v>68</v>
      </c>
      <c r="N135" s="7"/>
      <c r="O135" s="7" t="n">
        <v>110</v>
      </c>
    </row>
    <row r="136" customFormat="false" ht="15" hidden="false" customHeight="false" outlineLevel="0" collapsed="false">
      <c r="A136" s="5" t="n">
        <v>135</v>
      </c>
      <c r="B136" s="5" t="s">
        <v>528</v>
      </c>
      <c r="C136" s="5" t="s">
        <v>529</v>
      </c>
      <c r="D136" s="5" t="s">
        <v>530</v>
      </c>
      <c r="E136" s="6" t="s">
        <v>59</v>
      </c>
      <c r="F136" s="5" t="s">
        <v>83</v>
      </c>
      <c r="G136" s="5" t="s">
        <v>206</v>
      </c>
      <c r="H136" s="7" t="n">
        <v>915</v>
      </c>
      <c r="I136" s="8" t="n">
        <f aca="false">H136/$H$202</f>
        <v>0.000924939398779282</v>
      </c>
      <c r="J136" s="5" t="s">
        <v>62</v>
      </c>
      <c r="K136" s="7"/>
      <c r="L136" s="7"/>
      <c r="M136" s="7"/>
      <c r="N136" s="7"/>
      <c r="O136" s="7"/>
    </row>
    <row r="137" customFormat="false" ht="15" hidden="false" customHeight="false" outlineLevel="0" collapsed="false">
      <c r="A137" s="5" t="n">
        <v>136</v>
      </c>
      <c r="B137" s="5" t="s">
        <v>531</v>
      </c>
      <c r="C137" s="5" t="s">
        <v>532</v>
      </c>
      <c r="D137" s="5" t="s">
        <v>533</v>
      </c>
      <c r="E137" s="6" t="s">
        <v>59</v>
      </c>
      <c r="F137" s="5" t="s">
        <v>60</v>
      </c>
      <c r="G137" s="5" t="s">
        <v>95</v>
      </c>
      <c r="H137" s="7" t="n">
        <v>911</v>
      </c>
      <c r="I137" s="8" t="n">
        <f aca="false">H137/$H$202</f>
        <v>0.000920895947855657</v>
      </c>
      <c r="J137" s="5" t="s">
        <v>62</v>
      </c>
      <c r="K137" s="7" t="n">
        <v>257</v>
      </c>
      <c r="L137" s="7"/>
      <c r="M137" s="7" t="n">
        <v>516</v>
      </c>
      <c r="N137" s="7" t="n">
        <v>130</v>
      </c>
      <c r="O137" s="7"/>
    </row>
    <row r="138" customFormat="false" ht="15" hidden="false" customHeight="false" outlineLevel="0" collapsed="false">
      <c r="A138" s="5" t="n">
        <v>137</v>
      </c>
      <c r="B138" s="5" t="s">
        <v>534</v>
      </c>
      <c r="C138" s="5" t="s">
        <v>535</v>
      </c>
      <c r="D138" s="5" t="s">
        <v>536</v>
      </c>
      <c r="E138" s="10" t="s">
        <v>82</v>
      </c>
      <c r="F138" s="5" t="s">
        <v>393</v>
      </c>
      <c r="G138" s="5" t="s">
        <v>394</v>
      </c>
      <c r="H138" s="7" t="n">
        <v>903</v>
      </c>
      <c r="I138" s="8" t="n">
        <f aca="false">H138/$H$202</f>
        <v>0.000912809046008406</v>
      </c>
      <c r="J138" s="5" t="s">
        <v>537</v>
      </c>
      <c r="K138" s="7"/>
      <c r="L138" s="7"/>
      <c r="M138" s="7" t="n">
        <v>903</v>
      </c>
      <c r="N138" s="7"/>
      <c r="O138" s="7"/>
    </row>
    <row r="139" customFormat="false" ht="15" hidden="false" customHeight="false" outlineLevel="0" collapsed="false">
      <c r="A139" s="5" t="n">
        <v>138</v>
      </c>
      <c r="B139" s="5" t="s">
        <v>538</v>
      </c>
      <c r="C139" s="5" t="s">
        <v>539</v>
      </c>
      <c r="D139" s="5" t="s">
        <v>540</v>
      </c>
      <c r="E139" s="6" t="s">
        <v>59</v>
      </c>
      <c r="F139" s="5" t="s">
        <v>60</v>
      </c>
      <c r="G139" s="5" t="s">
        <v>95</v>
      </c>
      <c r="H139" s="7" t="n">
        <v>896</v>
      </c>
      <c r="I139" s="8" t="n">
        <f aca="false">H139/$H$202</f>
        <v>0.000905733006892062</v>
      </c>
      <c r="J139" s="5" t="s">
        <v>62</v>
      </c>
      <c r="K139" s="7"/>
      <c r="L139" s="7"/>
      <c r="M139" s="7" t="n">
        <v>293</v>
      </c>
      <c r="N139" s="7"/>
      <c r="O139" s="7" t="n">
        <v>543</v>
      </c>
    </row>
    <row r="140" customFormat="false" ht="15" hidden="false" customHeight="false" outlineLevel="0" collapsed="false">
      <c r="A140" s="5" t="n">
        <v>139</v>
      </c>
      <c r="B140" s="5" t="s">
        <v>541</v>
      </c>
      <c r="C140" s="5" t="s">
        <v>542</v>
      </c>
      <c r="D140" s="5" t="s">
        <v>543</v>
      </c>
      <c r="E140" s="9" t="s">
        <v>66</v>
      </c>
      <c r="F140" s="5" t="s">
        <v>544</v>
      </c>
      <c r="G140" s="5" t="s">
        <v>545</v>
      </c>
      <c r="H140" s="7" t="n">
        <v>895</v>
      </c>
      <c r="I140" s="8" t="n">
        <f aca="false">H140/$H$202</f>
        <v>0.000904722144161156</v>
      </c>
      <c r="J140" s="5" t="s">
        <v>546</v>
      </c>
      <c r="K140" s="7" t="n">
        <v>462</v>
      </c>
      <c r="L140" s="7"/>
      <c r="M140" s="7" t="n">
        <v>139</v>
      </c>
      <c r="N140" s="7"/>
      <c r="O140" s="7" t="n">
        <v>212</v>
      </c>
    </row>
    <row r="141" customFormat="false" ht="15" hidden="false" customHeight="false" outlineLevel="0" collapsed="false">
      <c r="A141" s="5" t="n">
        <v>140</v>
      </c>
      <c r="B141" s="5" t="s">
        <v>547</v>
      </c>
      <c r="C141" s="5" t="s">
        <v>548</v>
      </c>
      <c r="D141" s="5" t="s">
        <v>549</v>
      </c>
      <c r="E141" s="6" t="s">
        <v>59</v>
      </c>
      <c r="F141" s="5" t="s">
        <v>83</v>
      </c>
      <c r="G141" s="5" t="s">
        <v>206</v>
      </c>
      <c r="H141" s="7" t="n">
        <v>895</v>
      </c>
      <c r="I141" s="8" t="n">
        <f aca="false">H141/$H$202</f>
        <v>0.000904722144161156</v>
      </c>
      <c r="J141" s="5" t="s">
        <v>62</v>
      </c>
      <c r="K141" s="7" t="n">
        <v>393</v>
      </c>
      <c r="L141" s="7"/>
      <c r="M141" s="7" t="n">
        <v>273</v>
      </c>
      <c r="N141" s="7"/>
      <c r="O141" s="7"/>
    </row>
    <row r="142" customFormat="false" ht="15" hidden="false" customHeight="false" outlineLevel="0" collapsed="false">
      <c r="A142" s="5" t="n">
        <v>141</v>
      </c>
      <c r="B142" s="5" t="s">
        <v>550</v>
      </c>
      <c r="C142" s="5" t="s">
        <v>551</v>
      </c>
      <c r="D142" s="5" t="s">
        <v>552</v>
      </c>
      <c r="E142" s="6" t="s">
        <v>59</v>
      </c>
      <c r="F142" s="5" t="s">
        <v>134</v>
      </c>
      <c r="G142" s="5" t="s">
        <v>135</v>
      </c>
      <c r="H142" s="7" t="n">
        <v>876</v>
      </c>
      <c r="I142" s="8" t="n">
        <f aca="false">H142/$H$202</f>
        <v>0.000885515752273936</v>
      </c>
      <c r="J142" s="5" t="s">
        <v>62</v>
      </c>
      <c r="K142" s="7" t="n">
        <v>3</v>
      </c>
      <c r="L142" s="7" t="n">
        <v>723</v>
      </c>
      <c r="M142" s="7" t="n">
        <v>107</v>
      </c>
      <c r="N142" s="7"/>
      <c r="O142" s="7"/>
    </row>
    <row r="143" customFormat="false" ht="15" hidden="false" customHeight="false" outlineLevel="0" collapsed="false">
      <c r="A143" s="5" t="n">
        <v>142</v>
      </c>
      <c r="B143" s="5" t="s">
        <v>553</v>
      </c>
      <c r="C143" s="5" t="s">
        <v>554</v>
      </c>
      <c r="D143" s="5" t="s">
        <v>555</v>
      </c>
      <c r="E143" s="9" t="s">
        <v>66</v>
      </c>
      <c r="F143" s="5" t="s">
        <v>60</v>
      </c>
      <c r="G143" s="5" t="s">
        <v>95</v>
      </c>
      <c r="H143" s="7" t="n">
        <v>876</v>
      </c>
      <c r="I143" s="8" t="n">
        <f aca="false">H143/$H$202</f>
        <v>0.000885515752273936</v>
      </c>
      <c r="J143" s="5" t="s">
        <v>556</v>
      </c>
      <c r="K143" s="7" t="n">
        <v>175</v>
      </c>
      <c r="L143" s="7"/>
      <c r="M143" s="7" t="n">
        <v>436</v>
      </c>
      <c r="N143" s="7"/>
      <c r="O143" s="7"/>
    </row>
    <row r="144" customFormat="false" ht="15" hidden="false" customHeight="false" outlineLevel="0" collapsed="false">
      <c r="A144" s="5" t="n">
        <v>143</v>
      </c>
      <c r="B144" s="5" t="s">
        <v>557</v>
      </c>
      <c r="C144" s="5" t="s">
        <v>558</v>
      </c>
      <c r="D144" s="5" t="s">
        <v>559</v>
      </c>
      <c r="E144" s="6" t="s">
        <v>59</v>
      </c>
      <c r="F144" s="5" t="s">
        <v>218</v>
      </c>
      <c r="G144" s="5" t="s">
        <v>355</v>
      </c>
      <c r="H144" s="7" t="n">
        <v>874</v>
      </c>
      <c r="I144" s="8" t="n">
        <f aca="false">H144/$H$202</f>
        <v>0.000883494026812123</v>
      </c>
      <c r="J144" s="5" t="s">
        <v>62</v>
      </c>
      <c r="K144" s="7" t="n">
        <v>29</v>
      </c>
      <c r="L144" s="7" t="n">
        <v>156</v>
      </c>
      <c r="M144" s="7" t="n">
        <v>206</v>
      </c>
      <c r="N144" s="7" t="n">
        <v>100</v>
      </c>
      <c r="O144" s="7"/>
    </row>
    <row r="145" customFormat="false" ht="15" hidden="false" customHeight="false" outlineLevel="0" collapsed="false">
      <c r="A145" s="5" t="n">
        <v>144</v>
      </c>
      <c r="B145" s="5" t="s">
        <v>560</v>
      </c>
      <c r="C145" s="5" t="s">
        <v>561</v>
      </c>
      <c r="D145" s="5" t="s">
        <v>562</v>
      </c>
      <c r="E145" s="6" t="s">
        <v>59</v>
      </c>
      <c r="F145" s="5" t="s">
        <v>275</v>
      </c>
      <c r="G145" s="5" t="s">
        <v>276</v>
      </c>
      <c r="H145" s="7" t="n">
        <v>872</v>
      </c>
      <c r="I145" s="8" t="n">
        <f aca="false">H145/$H$202</f>
        <v>0.000881472301350311</v>
      </c>
      <c r="J145" s="5" t="s">
        <v>62</v>
      </c>
      <c r="K145" s="7"/>
      <c r="L145" s="7"/>
      <c r="M145" s="7" t="n">
        <v>166</v>
      </c>
      <c r="N145" s="7" t="n">
        <v>529</v>
      </c>
      <c r="O145" s="7"/>
    </row>
    <row r="146" customFormat="false" ht="15" hidden="false" customHeight="false" outlineLevel="0" collapsed="false">
      <c r="A146" s="5" t="n">
        <v>145</v>
      </c>
      <c r="B146" s="5" t="s">
        <v>563</v>
      </c>
      <c r="C146" s="5" t="s">
        <v>564</v>
      </c>
      <c r="D146" s="5" t="s">
        <v>565</v>
      </c>
      <c r="E146" s="9" t="s">
        <v>66</v>
      </c>
      <c r="F146" s="5" t="s">
        <v>257</v>
      </c>
      <c r="G146" s="5" t="s">
        <v>258</v>
      </c>
      <c r="H146" s="7" t="n">
        <v>852</v>
      </c>
      <c r="I146" s="8" t="n">
        <f aca="false">H146/$H$202</f>
        <v>0.000861255046732184</v>
      </c>
      <c r="J146" s="5" t="s">
        <v>566</v>
      </c>
      <c r="K146" s="7" t="n">
        <v>403</v>
      </c>
      <c r="L146" s="7"/>
      <c r="M146" s="7" t="n">
        <v>25</v>
      </c>
      <c r="N146" s="7"/>
      <c r="O146" s="7"/>
    </row>
    <row r="147" customFormat="false" ht="15" hidden="false" customHeight="false" outlineLevel="0" collapsed="false">
      <c r="A147" s="5" t="n">
        <v>146</v>
      </c>
      <c r="B147" s="5" t="s">
        <v>567</v>
      </c>
      <c r="C147" s="5" t="s">
        <v>568</v>
      </c>
      <c r="D147" s="5" t="s">
        <v>569</v>
      </c>
      <c r="E147" s="6" t="s">
        <v>59</v>
      </c>
      <c r="F147" s="5" t="s">
        <v>60</v>
      </c>
      <c r="G147" s="5" t="s">
        <v>95</v>
      </c>
      <c r="H147" s="7" t="n">
        <v>804</v>
      </c>
      <c r="I147" s="8" t="n">
        <f aca="false">H147/$H$202</f>
        <v>0.000812733635648681</v>
      </c>
      <c r="J147" s="5" t="s">
        <v>62</v>
      </c>
      <c r="K147" s="7" t="n">
        <v>486</v>
      </c>
      <c r="L147" s="7"/>
      <c r="M147" s="7" t="n">
        <v>239</v>
      </c>
      <c r="N147" s="7"/>
      <c r="O147" s="7"/>
    </row>
    <row r="148" customFormat="false" ht="15" hidden="false" customHeight="false" outlineLevel="0" collapsed="false">
      <c r="A148" s="5" t="n">
        <v>147</v>
      </c>
      <c r="B148" s="5" t="s">
        <v>570</v>
      </c>
      <c r="C148" s="5" t="s">
        <v>571</v>
      </c>
      <c r="D148" s="5" t="s">
        <v>572</v>
      </c>
      <c r="E148" s="9" t="s">
        <v>66</v>
      </c>
      <c r="F148" s="5" t="s">
        <v>257</v>
      </c>
      <c r="G148" s="5" t="s">
        <v>258</v>
      </c>
      <c r="H148" s="7" t="n">
        <v>789</v>
      </c>
      <c r="I148" s="8" t="n">
        <f aca="false">H148/$H$202</f>
        <v>0.000797570694685086</v>
      </c>
      <c r="J148" s="5" t="s">
        <v>573</v>
      </c>
      <c r="K148" s="7" t="n">
        <v>434</v>
      </c>
      <c r="L148" s="7"/>
      <c r="M148" s="7" t="n">
        <v>117</v>
      </c>
      <c r="N148" s="7"/>
      <c r="O148" s="7"/>
    </row>
    <row r="149" customFormat="false" ht="15" hidden="false" customHeight="false" outlineLevel="0" collapsed="false">
      <c r="A149" s="5" t="n">
        <v>148</v>
      </c>
      <c r="B149" s="5" t="s">
        <v>574</v>
      </c>
      <c r="C149" s="5" t="s">
        <v>575</v>
      </c>
      <c r="D149" s="5" t="s">
        <v>576</v>
      </c>
      <c r="E149" s="6" t="s">
        <v>59</v>
      </c>
      <c r="F149" s="5" t="s">
        <v>73</v>
      </c>
      <c r="G149" s="5" t="s">
        <v>74</v>
      </c>
      <c r="H149" s="7" t="n">
        <v>784</v>
      </c>
      <c r="I149" s="8" t="n">
        <f aca="false">H149/$H$202</f>
        <v>0.000792516381030554</v>
      </c>
      <c r="J149" s="5" t="s">
        <v>62</v>
      </c>
      <c r="K149" s="7" t="n">
        <v>383</v>
      </c>
      <c r="L149" s="7"/>
      <c r="M149" s="7" t="n">
        <v>85</v>
      </c>
      <c r="N149" s="7" t="n">
        <v>156</v>
      </c>
      <c r="O149" s="7"/>
    </row>
    <row r="150" customFormat="false" ht="15" hidden="false" customHeight="false" outlineLevel="0" collapsed="false">
      <c r="A150" s="5" t="n">
        <v>149</v>
      </c>
      <c r="B150" s="5" t="s">
        <v>577</v>
      </c>
      <c r="C150" s="5" t="s">
        <v>578</v>
      </c>
      <c r="D150" s="5" t="s">
        <v>579</v>
      </c>
      <c r="E150" s="9" t="s">
        <v>66</v>
      </c>
      <c r="F150" s="5" t="s">
        <v>60</v>
      </c>
      <c r="G150" s="5" t="s">
        <v>95</v>
      </c>
      <c r="H150" s="7" t="n">
        <v>773</v>
      </c>
      <c r="I150" s="8" t="n">
        <f aca="false">H150/$H$202</f>
        <v>0.000781396890990585</v>
      </c>
      <c r="J150" s="5" t="s">
        <v>69</v>
      </c>
      <c r="K150" s="7" t="n">
        <v>320</v>
      </c>
      <c r="L150" s="7"/>
      <c r="M150" s="7" t="n">
        <v>342</v>
      </c>
      <c r="N150" s="7"/>
      <c r="O150" s="7"/>
    </row>
    <row r="151" customFormat="false" ht="15" hidden="false" customHeight="false" outlineLevel="0" collapsed="false">
      <c r="A151" s="5" t="n">
        <v>150</v>
      </c>
      <c r="B151" s="5" t="s">
        <v>580</v>
      </c>
      <c r="C151" s="5" t="s">
        <v>581</v>
      </c>
      <c r="D151" s="5" t="s">
        <v>582</v>
      </c>
      <c r="E151" s="6" t="s">
        <v>59</v>
      </c>
      <c r="F151" s="5" t="s">
        <v>275</v>
      </c>
      <c r="G151" s="5" t="s">
        <v>276</v>
      </c>
      <c r="H151" s="7" t="n">
        <v>764</v>
      </c>
      <c r="I151" s="8" t="n">
        <f aca="false">H151/$H$202</f>
        <v>0.000772299126412428</v>
      </c>
      <c r="J151" s="5" t="s">
        <v>62</v>
      </c>
      <c r="K151" s="7"/>
      <c r="L151" s="7"/>
      <c r="M151" s="7" t="n">
        <v>154</v>
      </c>
      <c r="N151" s="7" t="n">
        <v>608</v>
      </c>
      <c r="O151" s="7"/>
    </row>
    <row r="152" customFormat="false" ht="15" hidden="false" customHeight="false" outlineLevel="0" collapsed="false">
      <c r="A152" s="5" t="n">
        <v>151</v>
      </c>
      <c r="B152" s="5" t="s">
        <v>583</v>
      </c>
      <c r="C152" s="5" t="s">
        <v>584</v>
      </c>
      <c r="D152" s="5" t="s">
        <v>585</v>
      </c>
      <c r="E152" s="6" t="s">
        <v>59</v>
      </c>
      <c r="F152" s="5" t="s">
        <v>251</v>
      </c>
      <c r="G152" s="5" t="s">
        <v>365</v>
      </c>
      <c r="H152" s="7" t="n">
        <v>763</v>
      </c>
      <c r="I152" s="8" t="n">
        <f aca="false">H152/$H$202</f>
        <v>0.000771288263681522</v>
      </c>
      <c r="J152" s="5" t="s">
        <v>62</v>
      </c>
      <c r="K152" s="7" t="n">
        <v>451</v>
      </c>
      <c r="L152" s="7"/>
      <c r="M152" s="7" t="n">
        <v>114</v>
      </c>
      <c r="N152" s="7" t="n">
        <v>172</v>
      </c>
      <c r="O152" s="7"/>
    </row>
    <row r="153" customFormat="false" ht="15" hidden="false" customHeight="false" outlineLevel="0" collapsed="false">
      <c r="A153" s="5" t="n">
        <v>152</v>
      </c>
      <c r="B153" s="5" t="s">
        <v>586</v>
      </c>
      <c r="C153" s="5" t="s">
        <v>587</v>
      </c>
      <c r="D153" s="5" t="s">
        <v>588</v>
      </c>
      <c r="E153" s="6" t="s">
        <v>59</v>
      </c>
      <c r="F153" s="5" t="s">
        <v>139</v>
      </c>
      <c r="G153" s="5" t="s">
        <v>140</v>
      </c>
      <c r="H153" s="7" t="n">
        <v>763</v>
      </c>
      <c r="I153" s="8" t="n">
        <f aca="false">H153/$H$202</f>
        <v>0.000771288263681522</v>
      </c>
      <c r="J153" s="5" t="s">
        <v>62</v>
      </c>
      <c r="K153" s="7" t="n">
        <v>71</v>
      </c>
      <c r="L153" s="7"/>
      <c r="M153" s="7" t="n">
        <v>540</v>
      </c>
      <c r="N153" s="7"/>
      <c r="O153" s="7"/>
    </row>
    <row r="154" customFormat="false" ht="15" hidden="false" customHeight="false" outlineLevel="0" collapsed="false">
      <c r="A154" s="5" t="n">
        <v>153</v>
      </c>
      <c r="B154" s="5" t="s">
        <v>589</v>
      </c>
      <c r="C154" s="5" t="s">
        <v>590</v>
      </c>
      <c r="D154" s="5" t="s">
        <v>591</v>
      </c>
      <c r="E154" s="6" t="s">
        <v>59</v>
      </c>
      <c r="F154" s="5" t="s">
        <v>99</v>
      </c>
      <c r="G154" s="5" t="s">
        <v>100</v>
      </c>
      <c r="H154" s="7" t="n">
        <v>748</v>
      </c>
      <c r="I154" s="8" t="n">
        <f aca="false">H154/$H$202</f>
        <v>0.000756125322717927</v>
      </c>
      <c r="J154" s="5" t="s">
        <v>592</v>
      </c>
      <c r="K154" s="7" t="n">
        <v>37</v>
      </c>
      <c r="L154" s="7" t="n">
        <v>604</v>
      </c>
      <c r="M154" s="7" t="n">
        <v>58</v>
      </c>
      <c r="N154" s="7"/>
      <c r="O154" s="7"/>
    </row>
    <row r="155" customFormat="false" ht="15" hidden="false" customHeight="false" outlineLevel="0" collapsed="false">
      <c r="A155" s="5" t="n">
        <v>154</v>
      </c>
      <c r="B155" s="5" t="s">
        <v>593</v>
      </c>
      <c r="C155" s="5" t="s">
        <v>594</v>
      </c>
      <c r="D155" s="5" t="s">
        <v>595</v>
      </c>
      <c r="E155" s="6" t="s">
        <v>59</v>
      </c>
      <c r="F155" s="5" t="s">
        <v>83</v>
      </c>
      <c r="G155" s="5" t="s">
        <v>84</v>
      </c>
      <c r="H155" s="7" t="n">
        <v>745</v>
      </c>
      <c r="I155" s="8" t="n">
        <f aca="false">H155/$H$202</f>
        <v>0.000753092734525208</v>
      </c>
      <c r="J155" s="5" t="s">
        <v>62</v>
      </c>
      <c r="K155" s="7" t="n">
        <v>107</v>
      </c>
      <c r="L155" s="7"/>
      <c r="M155" s="7" t="n">
        <v>35</v>
      </c>
      <c r="N155" s="7"/>
      <c r="O155" s="7"/>
    </row>
    <row r="156" customFormat="false" ht="15" hidden="false" customHeight="false" outlineLevel="0" collapsed="false">
      <c r="A156" s="5" t="n">
        <v>155</v>
      </c>
      <c r="B156" s="5" t="s">
        <v>596</v>
      </c>
      <c r="C156" s="5" t="s">
        <v>597</v>
      </c>
      <c r="D156" s="5" t="s">
        <v>598</v>
      </c>
      <c r="E156" s="6" t="s">
        <v>59</v>
      </c>
      <c r="F156" s="5" t="s">
        <v>218</v>
      </c>
      <c r="G156" s="5" t="s">
        <v>599</v>
      </c>
      <c r="H156" s="7" t="n">
        <v>736</v>
      </c>
      <c r="I156" s="8" t="n">
        <f aca="false">H156/$H$202</f>
        <v>0.000743994969947051</v>
      </c>
      <c r="J156" s="5" t="s">
        <v>62</v>
      </c>
      <c r="K156" s="7"/>
      <c r="L156" s="7"/>
      <c r="M156" s="7"/>
      <c r="N156" s="7"/>
      <c r="O156" s="7"/>
    </row>
    <row r="157" customFormat="false" ht="15" hidden="false" customHeight="false" outlineLevel="0" collapsed="false">
      <c r="A157" s="5" t="n">
        <v>156</v>
      </c>
      <c r="B157" s="5" t="s">
        <v>600</v>
      </c>
      <c r="C157" s="5" t="s">
        <v>600</v>
      </c>
      <c r="D157" s="5" t="s">
        <v>601</v>
      </c>
      <c r="E157" s="10" t="s">
        <v>82</v>
      </c>
      <c r="F157" s="5" t="s">
        <v>139</v>
      </c>
      <c r="G157" s="5" t="s">
        <v>140</v>
      </c>
      <c r="H157" s="7" t="n">
        <v>694</v>
      </c>
      <c r="I157" s="8" t="n">
        <f aca="false">H157/$H$202</f>
        <v>0.000701538735248986</v>
      </c>
      <c r="J157" s="5" t="s">
        <v>602</v>
      </c>
      <c r="K157" s="7"/>
      <c r="L157" s="7"/>
      <c r="M157" s="7" t="n">
        <v>694</v>
      </c>
      <c r="N157" s="7"/>
      <c r="O157" s="7"/>
    </row>
    <row r="158" customFormat="false" ht="15" hidden="false" customHeight="false" outlineLevel="0" collapsed="false">
      <c r="A158" s="5" t="n">
        <v>157</v>
      </c>
      <c r="B158" s="5" t="s">
        <v>603</v>
      </c>
      <c r="C158" s="5" t="s">
        <v>604</v>
      </c>
      <c r="D158" s="5" t="s">
        <v>605</v>
      </c>
      <c r="E158" s="6" t="s">
        <v>59</v>
      </c>
      <c r="F158" s="5" t="s">
        <v>503</v>
      </c>
      <c r="G158" s="5" t="s">
        <v>504</v>
      </c>
      <c r="H158" s="7" t="n">
        <v>692</v>
      </c>
      <c r="I158" s="8" t="n">
        <f aca="false">H158/$H$202</f>
        <v>0.000699517009787173</v>
      </c>
      <c r="J158" s="5" t="s">
        <v>62</v>
      </c>
      <c r="K158" s="7"/>
      <c r="L158" s="7"/>
      <c r="M158" s="7"/>
      <c r="N158" s="7"/>
      <c r="O158" s="7"/>
    </row>
    <row r="159" customFormat="false" ht="15" hidden="false" customHeight="false" outlineLevel="0" collapsed="false">
      <c r="A159" s="5" t="n">
        <v>158</v>
      </c>
      <c r="B159" s="5" t="s">
        <v>606</v>
      </c>
      <c r="C159" s="5" t="s">
        <v>607</v>
      </c>
      <c r="D159" s="5" t="s">
        <v>608</v>
      </c>
      <c r="E159" s="6" t="s">
        <v>59</v>
      </c>
      <c r="F159" s="5" t="s">
        <v>503</v>
      </c>
      <c r="G159" s="5" t="s">
        <v>504</v>
      </c>
      <c r="H159" s="7" t="n">
        <v>690</v>
      </c>
      <c r="I159" s="8" t="n">
        <f aca="false">H159/$H$202</f>
        <v>0.00069749528432536</v>
      </c>
      <c r="J159" s="5" t="s">
        <v>62</v>
      </c>
      <c r="K159" s="7"/>
      <c r="L159" s="7"/>
      <c r="M159" s="7" t="n">
        <v>126</v>
      </c>
      <c r="N159" s="7"/>
      <c r="O159" s="7"/>
    </row>
    <row r="160" customFormat="false" ht="15" hidden="false" customHeight="false" outlineLevel="0" collapsed="false">
      <c r="A160" s="5" t="n">
        <v>159</v>
      </c>
      <c r="B160" s="5" t="s">
        <v>609</v>
      </c>
      <c r="C160" s="5" t="s">
        <v>610</v>
      </c>
      <c r="D160" s="5" t="s">
        <v>611</v>
      </c>
      <c r="E160" s="6" t="s">
        <v>59</v>
      </c>
      <c r="F160" s="5" t="s">
        <v>60</v>
      </c>
      <c r="G160" s="5" t="s">
        <v>95</v>
      </c>
      <c r="H160" s="7" t="n">
        <v>670</v>
      </c>
      <c r="I160" s="8" t="n">
        <f aca="false">H160/$H$202</f>
        <v>0.000677278029707234</v>
      </c>
      <c r="J160" s="5" t="s">
        <v>62</v>
      </c>
      <c r="K160" s="7" t="n">
        <v>264</v>
      </c>
      <c r="L160" s="7"/>
      <c r="M160" s="7" t="n">
        <v>207</v>
      </c>
      <c r="N160" s="7"/>
      <c r="O160" s="7"/>
    </row>
    <row r="161" customFormat="false" ht="15" hidden="false" customHeight="false" outlineLevel="0" collapsed="false">
      <c r="A161" s="5" t="n">
        <v>160</v>
      </c>
      <c r="B161" s="5" t="s">
        <v>612</v>
      </c>
      <c r="C161" s="5" t="s">
        <v>613</v>
      </c>
      <c r="D161" s="5" t="s">
        <v>614</v>
      </c>
      <c r="E161" s="6" t="s">
        <v>59</v>
      </c>
      <c r="F161" s="5" t="s">
        <v>118</v>
      </c>
      <c r="G161" s="5" t="s">
        <v>223</v>
      </c>
      <c r="H161" s="7" t="n">
        <v>662</v>
      </c>
      <c r="I161" s="8" t="n">
        <f aca="false">H161/$H$202</f>
        <v>0.000669191127859983</v>
      </c>
      <c r="J161" s="5" t="s">
        <v>62</v>
      </c>
      <c r="K161" s="7" t="n">
        <v>243</v>
      </c>
      <c r="L161" s="7"/>
      <c r="M161" s="7" t="n">
        <v>95</v>
      </c>
      <c r="N161" s="7"/>
      <c r="O161" s="7" t="n">
        <v>133</v>
      </c>
    </row>
    <row r="162" customFormat="false" ht="15" hidden="false" customHeight="false" outlineLevel="0" collapsed="false">
      <c r="A162" s="5" t="n">
        <v>161</v>
      </c>
      <c r="B162" s="5" t="s">
        <v>615</v>
      </c>
      <c r="C162" s="5" t="s">
        <v>616</v>
      </c>
      <c r="D162" s="5" t="s">
        <v>617</v>
      </c>
      <c r="E162" s="10" t="s">
        <v>82</v>
      </c>
      <c r="F162" s="5" t="s">
        <v>275</v>
      </c>
      <c r="G162" s="5" t="s">
        <v>276</v>
      </c>
      <c r="H162" s="7" t="n">
        <v>658</v>
      </c>
      <c r="I162" s="8" t="n">
        <f aca="false">H162/$H$202</f>
        <v>0.000665147676936358</v>
      </c>
      <c r="J162" s="5" t="s">
        <v>618</v>
      </c>
      <c r="K162" s="7"/>
      <c r="L162" s="7"/>
      <c r="M162" s="7" t="n">
        <v>184</v>
      </c>
      <c r="N162" s="7"/>
      <c r="O162" s="7"/>
    </row>
    <row r="163" customFormat="false" ht="15" hidden="false" customHeight="false" outlineLevel="0" collapsed="false">
      <c r="A163" s="5" t="n">
        <v>162</v>
      </c>
      <c r="B163" s="5" t="s">
        <v>619</v>
      </c>
      <c r="C163" s="5" t="s">
        <v>620</v>
      </c>
      <c r="D163" s="5" t="s">
        <v>621</v>
      </c>
      <c r="E163" s="9" t="s">
        <v>66</v>
      </c>
      <c r="F163" s="5" t="s">
        <v>60</v>
      </c>
      <c r="G163" s="5" t="s">
        <v>622</v>
      </c>
      <c r="H163" s="7" t="n">
        <v>624</v>
      </c>
      <c r="I163" s="8" t="n">
        <f aca="false">H163/$H$202</f>
        <v>0.000630778344085543</v>
      </c>
      <c r="J163" s="5" t="s">
        <v>623</v>
      </c>
      <c r="K163" s="7" t="n">
        <v>182</v>
      </c>
      <c r="L163" s="7"/>
      <c r="M163" s="7" t="n">
        <v>119</v>
      </c>
      <c r="N163" s="7"/>
      <c r="O163" s="7"/>
    </row>
    <row r="164" customFormat="false" ht="15" hidden="false" customHeight="false" outlineLevel="0" collapsed="false">
      <c r="A164" s="5" t="n">
        <v>163</v>
      </c>
      <c r="B164" s="5" t="s">
        <v>624</v>
      </c>
      <c r="C164" s="5" t="s">
        <v>625</v>
      </c>
      <c r="D164" s="5" t="s">
        <v>626</v>
      </c>
      <c r="E164" s="6" t="s">
        <v>59</v>
      </c>
      <c r="F164" s="5" t="s">
        <v>60</v>
      </c>
      <c r="G164" s="5" t="s">
        <v>95</v>
      </c>
      <c r="H164" s="7" t="n">
        <v>621</v>
      </c>
      <c r="I164" s="8" t="n">
        <f aca="false">H164/$H$202</f>
        <v>0.000627745755892824</v>
      </c>
      <c r="J164" s="5" t="s">
        <v>62</v>
      </c>
      <c r="K164" s="7" t="n">
        <v>68</v>
      </c>
      <c r="L164" s="7"/>
      <c r="M164" s="7" t="n">
        <v>86</v>
      </c>
      <c r="N164" s="7"/>
      <c r="O164" s="7" t="n">
        <v>410</v>
      </c>
    </row>
    <row r="165" customFormat="false" ht="15" hidden="false" customHeight="false" outlineLevel="0" collapsed="false">
      <c r="A165" s="5" t="n">
        <v>164</v>
      </c>
      <c r="B165" s="5" t="s">
        <v>627</v>
      </c>
      <c r="C165" s="5" t="s">
        <v>628</v>
      </c>
      <c r="D165" s="5" t="s">
        <v>628</v>
      </c>
      <c r="E165" s="9" t="s">
        <v>66</v>
      </c>
      <c r="F165" s="5" t="s">
        <v>169</v>
      </c>
      <c r="G165" s="5" t="s">
        <v>233</v>
      </c>
      <c r="H165" s="7" t="n">
        <v>602</v>
      </c>
      <c r="I165" s="8" t="n">
        <f aca="false">H165/$H$202</f>
        <v>0.000608539364005604</v>
      </c>
      <c r="J165" s="5" t="s">
        <v>629</v>
      </c>
      <c r="K165" s="7"/>
      <c r="L165" s="7"/>
      <c r="M165" s="7" t="n">
        <v>122</v>
      </c>
      <c r="N165" s="7"/>
      <c r="O165" s="7"/>
    </row>
    <row r="166" customFormat="false" ht="15" hidden="false" customHeight="false" outlineLevel="0" collapsed="false">
      <c r="A166" s="5" t="n">
        <v>165</v>
      </c>
      <c r="B166" s="5" t="s">
        <v>630</v>
      </c>
      <c r="C166" s="5" t="s">
        <v>631</v>
      </c>
      <c r="D166" s="5" t="s">
        <v>632</v>
      </c>
      <c r="E166" s="6" t="s">
        <v>59</v>
      </c>
      <c r="F166" s="5" t="s">
        <v>60</v>
      </c>
      <c r="G166" s="5" t="s">
        <v>633</v>
      </c>
      <c r="H166" s="7" t="n">
        <v>591</v>
      </c>
      <c r="I166" s="8" t="n">
        <f aca="false">H166/$H$202</f>
        <v>0.000597419873965635</v>
      </c>
      <c r="J166" s="5" t="s">
        <v>62</v>
      </c>
      <c r="K166" s="7" t="n">
        <v>270</v>
      </c>
      <c r="L166" s="7"/>
      <c r="M166" s="7" t="n">
        <v>281</v>
      </c>
      <c r="N166" s="7"/>
      <c r="O166" s="7"/>
    </row>
    <row r="167" customFormat="false" ht="15" hidden="false" customHeight="false" outlineLevel="0" collapsed="false">
      <c r="A167" s="5" t="n">
        <v>166</v>
      </c>
      <c r="B167" s="5" t="s">
        <v>634</v>
      </c>
      <c r="C167" s="5" t="s">
        <v>635</v>
      </c>
      <c r="D167" s="5" t="s">
        <v>636</v>
      </c>
      <c r="E167" s="6" t="s">
        <v>59</v>
      </c>
      <c r="F167" s="5" t="s">
        <v>257</v>
      </c>
      <c r="G167" s="5" t="s">
        <v>258</v>
      </c>
      <c r="H167" s="7" t="n">
        <v>564</v>
      </c>
      <c r="I167" s="8" t="n">
        <f aca="false">H167/$H$202</f>
        <v>0.000570126580231164</v>
      </c>
      <c r="J167" s="5" t="s">
        <v>62</v>
      </c>
      <c r="K167" s="7" t="n">
        <v>122</v>
      </c>
      <c r="L167" s="7" t="n">
        <v>51</v>
      </c>
      <c r="M167" s="7" t="n">
        <v>244</v>
      </c>
      <c r="N167" s="7" t="n">
        <v>106</v>
      </c>
      <c r="O167" s="7"/>
    </row>
    <row r="168" customFormat="false" ht="15" hidden="false" customHeight="false" outlineLevel="0" collapsed="false">
      <c r="A168" s="5" t="n">
        <v>167</v>
      </c>
      <c r="B168" s="5" t="s">
        <v>637</v>
      </c>
      <c r="C168" s="5" t="s">
        <v>638</v>
      </c>
      <c r="D168" s="5" t="s">
        <v>639</v>
      </c>
      <c r="E168" s="6" t="s">
        <v>59</v>
      </c>
      <c r="F168" s="5" t="s">
        <v>83</v>
      </c>
      <c r="G168" s="5" t="s">
        <v>84</v>
      </c>
      <c r="H168" s="7" t="n">
        <v>550</v>
      </c>
      <c r="I168" s="8" t="n">
        <f aca="false">H168/$H$202</f>
        <v>0.000555974501998476</v>
      </c>
      <c r="J168" s="5" t="s">
        <v>62</v>
      </c>
      <c r="K168" s="7"/>
      <c r="L168" s="7"/>
      <c r="M168" s="7"/>
      <c r="N168" s="7"/>
      <c r="O168" s="7"/>
    </row>
    <row r="169" customFormat="false" ht="15" hidden="false" customHeight="false" outlineLevel="0" collapsed="false">
      <c r="A169" s="5" t="n">
        <v>168</v>
      </c>
      <c r="B169" s="5" t="s">
        <v>640</v>
      </c>
      <c r="C169" s="5" t="s">
        <v>641</v>
      </c>
      <c r="D169" s="5" t="s">
        <v>641</v>
      </c>
      <c r="E169" s="6" t="s">
        <v>59</v>
      </c>
      <c r="F169" s="5" t="s">
        <v>60</v>
      </c>
      <c r="G169" s="5" t="s">
        <v>642</v>
      </c>
      <c r="H169" s="7" t="n">
        <v>545</v>
      </c>
      <c r="I169" s="8" t="n">
        <f aca="false">H169/$H$202</f>
        <v>0.000550920188343944</v>
      </c>
      <c r="J169" s="5" t="s">
        <v>62</v>
      </c>
      <c r="K169" s="7"/>
      <c r="L169" s="7"/>
      <c r="M169" s="7"/>
      <c r="N169" s="7"/>
      <c r="O169" s="7"/>
    </row>
    <row r="170" customFormat="false" ht="15" hidden="false" customHeight="false" outlineLevel="0" collapsed="false">
      <c r="A170" s="5" t="n">
        <v>169</v>
      </c>
      <c r="B170" s="5" t="s">
        <v>643</v>
      </c>
      <c r="C170" s="5" t="s">
        <v>644</v>
      </c>
      <c r="D170" s="5" t="s">
        <v>645</v>
      </c>
      <c r="E170" s="9" t="s">
        <v>66</v>
      </c>
      <c r="F170" s="5" t="s">
        <v>60</v>
      </c>
      <c r="G170" s="5" t="s">
        <v>95</v>
      </c>
      <c r="H170" s="7" t="n">
        <v>543</v>
      </c>
      <c r="I170" s="8" t="n">
        <f aca="false">H170/$H$202</f>
        <v>0.000548898462882131</v>
      </c>
      <c r="J170" s="5" t="s">
        <v>646</v>
      </c>
      <c r="K170" s="7"/>
      <c r="L170" s="7"/>
      <c r="M170" s="7" t="n">
        <v>11</v>
      </c>
      <c r="N170" s="7"/>
      <c r="O170" s="7" t="n">
        <v>335</v>
      </c>
    </row>
    <row r="171" customFormat="false" ht="15" hidden="false" customHeight="false" outlineLevel="0" collapsed="false">
      <c r="A171" s="5" t="n">
        <v>170</v>
      </c>
      <c r="B171" s="5" t="s">
        <v>647</v>
      </c>
      <c r="C171" s="5" t="s">
        <v>648</v>
      </c>
      <c r="D171" s="5" t="s">
        <v>649</v>
      </c>
      <c r="E171" s="9" t="s">
        <v>66</v>
      </c>
      <c r="F171" s="5" t="s">
        <v>83</v>
      </c>
      <c r="G171" s="5" t="s">
        <v>206</v>
      </c>
      <c r="H171" s="7" t="n">
        <v>535</v>
      </c>
      <c r="I171" s="8" t="n">
        <f aca="false">H171/$H$202</f>
        <v>0.000540811561034881</v>
      </c>
      <c r="J171" s="5" t="s">
        <v>650</v>
      </c>
      <c r="K171" s="7" t="n">
        <v>160</v>
      </c>
      <c r="L171" s="7"/>
      <c r="M171" s="7" t="n">
        <v>100</v>
      </c>
      <c r="N171" s="7"/>
      <c r="O171" s="7"/>
    </row>
    <row r="172" customFormat="false" ht="15" hidden="false" customHeight="false" outlineLevel="0" collapsed="false">
      <c r="A172" s="5" t="n">
        <v>171</v>
      </c>
      <c r="B172" s="5" t="s">
        <v>651</v>
      </c>
      <c r="C172" s="5" t="s">
        <v>652</v>
      </c>
      <c r="D172" s="5" t="s">
        <v>653</v>
      </c>
      <c r="E172" s="6" t="s">
        <v>59</v>
      </c>
      <c r="F172" s="5" t="s">
        <v>83</v>
      </c>
      <c r="G172" s="5" t="s">
        <v>206</v>
      </c>
      <c r="H172" s="7" t="n">
        <v>529</v>
      </c>
      <c r="I172" s="8" t="n">
        <f aca="false">H172/$H$202</f>
        <v>0.000534746384649443</v>
      </c>
      <c r="J172" s="5" t="s">
        <v>62</v>
      </c>
      <c r="K172" s="7"/>
      <c r="L172" s="7"/>
      <c r="M172" s="7"/>
      <c r="N172" s="7"/>
      <c r="O172" s="7"/>
    </row>
    <row r="173" customFormat="false" ht="15" hidden="false" customHeight="false" outlineLevel="0" collapsed="false">
      <c r="A173" s="5" t="n">
        <v>172</v>
      </c>
      <c r="B173" s="5" t="s">
        <v>654</v>
      </c>
      <c r="C173" s="5" t="s">
        <v>655</v>
      </c>
      <c r="D173" s="5" t="s">
        <v>656</v>
      </c>
      <c r="E173" s="6" t="s">
        <v>59</v>
      </c>
      <c r="F173" s="5" t="s">
        <v>83</v>
      </c>
      <c r="G173" s="5" t="s">
        <v>206</v>
      </c>
      <c r="H173" s="7" t="n">
        <v>525</v>
      </c>
      <c r="I173" s="8" t="n">
        <f aca="false">H173/$H$202</f>
        <v>0.000530702933725818</v>
      </c>
      <c r="J173" s="5" t="s">
        <v>62</v>
      </c>
      <c r="K173" s="7" t="n">
        <v>372</v>
      </c>
      <c r="L173" s="7"/>
      <c r="M173" s="7" t="n">
        <v>73</v>
      </c>
      <c r="N173" s="7" t="n">
        <v>66</v>
      </c>
      <c r="O173" s="7"/>
    </row>
    <row r="174" customFormat="false" ht="15" hidden="false" customHeight="false" outlineLevel="0" collapsed="false">
      <c r="A174" s="5" t="n">
        <v>173</v>
      </c>
      <c r="B174" s="5" t="s">
        <v>657</v>
      </c>
      <c r="C174" s="5" t="s">
        <v>658</v>
      </c>
      <c r="D174" s="5" t="s">
        <v>659</v>
      </c>
      <c r="E174" s="6" t="s">
        <v>59</v>
      </c>
      <c r="F174" s="5" t="s">
        <v>169</v>
      </c>
      <c r="G174" s="5" t="s">
        <v>660</v>
      </c>
      <c r="H174" s="7" t="n">
        <v>496</v>
      </c>
      <c r="I174" s="8" t="n">
        <f aca="false">H174/$H$202</f>
        <v>0.000501387914529534</v>
      </c>
      <c r="J174" s="5" t="s">
        <v>62</v>
      </c>
      <c r="K174" s="7" t="n">
        <v>334</v>
      </c>
      <c r="L174" s="7"/>
      <c r="M174" s="7" t="n">
        <v>49</v>
      </c>
      <c r="N174" s="7" t="n">
        <v>77</v>
      </c>
      <c r="O174" s="7"/>
    </row>
    <row r="175" customFormat="false" ht="15" hidden="false" customHeight="false" outlineLevel="0" collapsed="false">
      <c r="A175" s="5" t="n">
        <v>174</v>
      </c>
      <c r="B175" s="5" t="s">
        <v>661</v>
      </c>
      <c r="C175" s="5" t="s">
        <v>662</v>
      </c>
      <c r="D175" s="5" t="s">
        <v>663</v>
      </c>
      <c r="E175" s="10" t="s">
        <v>82</v>
      </c>
      <c r="F175" s="5" t="s">
        <v>134</v>
      </c>
      <c r="G175" s="5" t="s">
        <v>460</v>
      </c>
      <c r="H175" s="7" t="n">
        <v>488</v>
      </c>
      <c r="I175" s="8" t="n">
        <f aca="false">H175/$H$202</f>
        <v>0.000493301012682284</v>
      </c>
      <c r="J175" s="5" t="s">
        <v>664</v>
      </c>
      <c r="K175" s="7" t="n">
        <v>150</v>
      </c>
      <c r="L175" s="7"/>
      <c r="M175" s="7" t="n">
        <v>303</v>
      </c>
      <c r="N175" s="7"/>
      <c r="O175" s="7"/>
    </row>
    <row r="176" customFormat="false" ht="15" hidden="false" customHeight="false" outlineLevel="0" collapsed="false">
      <c r="A176" s="5" t="n">
        <v>175</v>
      </c>
      <c r="B176" s="5" t="s">
        <v>665</v>
      </c>
      <c r="C176" s="5" t="s">
        <v>666</v>
      </c>
      <c r="D176" s="5" t="s">
        <v>667</v>
      </c>
      <c r="E176" s="6" t="s">
        <v>59</v>
      </c>
      <c r="F176" s="5" t="s">
        <v>60</v>
      </c>
      <c r="G176" s="5" t="s">
        <v>95</v>
      </c>
      <c r="H176" s="7" t="n">
        <v>487</v>
      </c>
      <c r="I176" s="8" t="n">
        <f aca="false">H176/$H$202</f>
        <v>0.000492290149951378</v>
      </c>
      <c r="J176" s="5" t="s">
        <v>62</v>
      </c>
      <c r="K176" s="7" t="n">
        <v>98</v>
      </c>
      <c r="L176" s="7"/>
      <c r="M176" s="7" t="n">
        <v>18</v>
      </c>
      <c r="N176" s="7"/>
      <c r="O176" s="7"/>
    </row>
    <row r="177" customFormat="false" ht="15" hidden="false" customHeight="false" outlineLevel="0" collapsed="false">
      <c r="A177" s="5" t="n">
        <v>176</v>
      </c>
      <c r="B177" s="5" t="s">
        <v>668</v>
      </c>
      <c r="C177" s="5" t="s">
        <v>669</v>
      </c>
      <c r="D177" s="5" t="s">
        <v>670</v>
      </c>
      <c r="E177" s="6" t="s">
        <v>59</v>
      </c>
      <c r="F177" s="5" t="s">
        <v>503</v>
      </c>
      <c r="G177" s="5" t="s">
        <v>504</v>
      </c>
      <c r="H177" s="7" t="n">
        <v>479</v>
      </c>
      <c r="I177" s="8" t="n">
        <f aca="false">H177/$H$202</f>
        <v>0.000484203248104127</v>
      </c>
      <c r="J177" s="5" t="s">
        <v>62</v>
      </c>
      <c r="K177" s="7" t="n">
        <v>458</v>
      </c>
      <c r="L177" s="7"/>
      <c r="M177" s="7"/>
      <c r="N177" s="7"/>
      <c r="O177" s="7"/>
    </row>
    <row r="178" customFormat="false" ht="15" hidden="false" customHeight="false" outlineLevel="0" collapsed="false">
      <c r="A178" s="5" t="n">
        <v>177</v>
      </c>
      <c r="B178" s="5" t="s">
        <v>671</v>
      </c>
      <c r="C178" s="5" t="s">
        <v>672</v>
      </c>
      <c r="D178" s="5" t="s">
        <v>673</v>
      </c>
      <c r="E178" s="6" t="s">
        <v>59</v>
      </c>
      <c r="F178" s="5" t="s">
        <v>83</v>
      </c>
      <c r="G178" s="5" t="s">
        <v>206</v>
      </c>
      <c r="H178" s="7" t="n">
        <v>476</v>
      </c>
      <c r="I178" s="8" t="n">
        <f aca="false">H178/$H$202</f>
        <v>0.000481170659911408</v>
      </c>
      <c r="J178" s="5" t="s">
        <v>62</v>
      </c>
      <c r="K178" s="7" t="n">
        <v>390</v>
      </c>
      <c r="L178" s="7"/>
      <c r="M178" s="7" t="n">
        <v>32</v>
      </c>
      <c r="N178" s="7" t="n">
        <v>38</v>
      </c>
      <c r="O178" s="7"/>
    </row>
    <row r="179" customFormat="false" ht="15" hidden="false" customHeight="false" outlineLevel="0" collapsed="false">
      <c r="A179" s="5" t="n">
        <v>178</v>
      </c>
      <c r="B179" s="5" t="s">
        <v>674</v>
      </c>
      <c r="C179" s="5" t="s">
        <v>675</v>
      </c>
      <c r="D179" s="5" t="s">
        <v>676</v>
      </c>
      <c r="E179" s="6" t="s">
        <v>59</v>
      </c>
      <c r="F179" s="5" t="s">
        <v>139</v>
      </c>
      <c r="G179" s="5" t="s">
        <v>140</v>
      </c>
      <c r="H179" s="7" t="n">
        <v>474</v>
      </c>
      <c r="I179" s="8" t="n">
        <f aca="false">H179/$H$202</f>
        <v>0.000479148934449595</v>
      </c>
      <c r="J179" s="5" t="s">
        <v>62</v>
      </c>
      <c r="K179" s="7"/>
      <c r="L179" s="7"/>
      <c r="M179" s="7" t="n">
        <v>347</v>
      </c>
      <c r="N179" s="7"/>
      <c r="O179" s="7"/>
    </row>
    <row r="180" customFormat="false" ht="15" hidden="false" customHeight="false" outlineLevel="0" collapsed="false">
      <c r="A180" s="5" t="n">
        <v>179</v>
      </c>
      <c r="B180" s="5" t="s">
        <v>677</v>
      </c>
      <c r="C180" s="5" t="s">
        <v>678</v>
      </c>
      <c r="D180" s="5" t="s">
        <v>678</v>
      </c>
      <c r="E180" s="9" t="s">
        <v>66</v>
      </c>
      <c r="F180" s="5" t="s">
        <v>89</v>
      </c>
      <c r="G180" s="5" t="s">
        <v>90</v>
      </c>
      <c r="H180" s="7" t="n">
        <v>468</v>
      </c>
      <c r="I180" s="8" t="n">
        <f aca="false">H180/$H$202</f>
        <v>0.000473083758064157</v>
      </c>
      <c r="J180" s="5" t="s">
        <v>679</v>
      </c>
      <c r="K180" s="7"/>
      <c r="L180" s="7"/>
      <c r="M180" s="7" t="n">
        <v>69</v>
      </c>
      <c r="N180" s="7"/>
      <c r="O180" s="7"/>
    </row>
    <row r="181" customFormat="false" ht="15" hidden="false" customHeight="false" outlineLevel="0" collapsed="false">
      <c r="A181" s="5" t="n">
        <v>180</v>
      </c>
      <c r="B181" s="5" t="s">
        <v>680</v>
      </c>
      <c r="C181" s="5" t="s">
        <v>681</v>
      </c>
      <c r="D181" s="5" t="s">
        <v>682</v>
      </c>
      <c r="E181" s="6" t="s">
        <v>59</v>
      </c>
      <c r="F181" s="5" t="s">
        <v>83</v>
      </c>
      <c r="G181" s="5" t="s">
        <v>206</v>
      </c>
      <c r="H181" s="7" t="n">
        <v>465</v>
      </c>
      <c r="I181" s="8" t="n">
        <f aca="false">H181/$H$202</f>
        <v>0.000470051169871438</v>
      </c>
      <c r="J181" s="5" t="s">
        <v>62</v>
      </c>
      <c r="K181" s="7" t="n">
        <v>140</v>
      </c>
      <c r="L181" s="7"/>
      <c r="M181" s="7" t="n">
        <v>174</v>
      </c>
      <c r="N181" s="7" t="n">
        <v>108</v>
      </c>
      <c r="O181" s="7"/>
    </row>
    <row r="182" customFormat="false" ht="15" hidden="false" customHeight="false" outlineLevel="0" collapsed="false">
      <c r="A182" s="5" t="n">
        <v>181</v>
      </c>
      <c r="B182" s="5" t="s">
        <v>683</v>
      </c>
      <c r="C182" s="5" t="s">
        <v>684</v>
      </c>
      <c r="D182" s="5" t="s">
        <v>685</v>
      </c>
      <c r="E182" s="9" t="s">
        <v>66</v>
      </c>
      <c r="F182" s="5" t="s">
        <v>257</v>
      </c>
      <c r="G182" s="5" t="s">
        <v>258</v>
      </c>
      <c r="H182" s="7" t="n">
        <v>461</v>
      </c>
      <c r="I182" s="8" t="n">
        <f aca="false">H182/$H$202</f>
        <v>0.000466007718947813</v>
      </c>
      <c r="J182" s="5" t="s">
        <v>686</v>
      </c>
      <c r="K182" s="7" t="n">
        <v>217</v>
      </c>
      <c r="L182" s="7" t="n">
        <v>94</v>
      </c>
      <c r="M182" s="7" t="n">
        <v>95</v>
      </c>
      <c r="N182" s="7"/>
      <c r="O182" s="7"/>
    </row>
    <row r="183" customFormat="false" ht="15" hidden="false" customHeight="false" outlineLevel="0" collapsed="false">
      <c r="A183" s="5" t="n">
        <v>182</v>
      </c>
      <c r="B183" s="5" t="s">
        <v>687</v>
      </c>
      <c r="C183" s="5" t="s">
        <v>688</v>
      </c>
      <c r="D183" s="5" t="s">
        <v>689</v>
      </c>
      <c r="E183" s="9" t="s">
        <v>66</v>
      </c>
      <c r="F183" s="5" t="s">
        <v>60</v>
      </c>
      <c r="G183" s="5" t="s">
        <v>690</v>
      </c>
      <c r="H183" s="7" t="n">
        <v>461</v>
      </c>
      <c r="I183" s="8" t="n">
        <f aca="false">H183/$H$202</f>
        <v>0.000466007718947813</v>
      </c>
      <c r="J183" s="5" t="s">
        <v>691</v>
      </c>
      <c r="K183" s="7" t="n">
        <v>226</v>
      </c>
      <c r="L183" s="7"/>
      <c r="M183" s="7" t="n">
        <v>199</v>
      </c>
      <c r="N183" s="7"/>
      <c r="O183" s="7"/>
    </row>
    <row r="184" customFormat="false" ht="15" hidden="false" customHeight="false" outlineLevel="0" collapsed="false">
      <c r="A184" s="5" t="n">
        <v>183</v>
      </c>
      <c r="B184" s="5" t="s">
        <v>692</v>
      </c>
      <c r="C184" s="5" t="s">
        <v>693</v>
      </c>
      <c r="D184" s="5" t="s">
        <v>693</v>
      </c>
      <c r="E184" s="9" t="s">
        <v>66</v>
      </c>
      <c r="F184" s="5" t="s">
        <v>251</v>
      </c>
      <c r="G184" s="5" t="s">
        <v>365</v>
      </c>
      <c r="H184" s="7" t="n">
        <v>452</v>
      </c>
      <c r="I184" s="8" t="n">
        <f aca="false">H184/$H$202</f>
        <v>0.000456909954369656</v>
      </c>
      <c r="J184" s="5" t="s">
        <v>694</v>
      </c>
      <c r="K184" s="7" t="n">
        <v>78</v>
      </c>
      <c r="L184" s="7"/>
      <c r="M184" s="7" t="n">
        <v>101</v>
      </c>
      <c r="N184" s="7"/>
      <c r="O184" s="7"/>
    </row>
    <row r="185" customFormat="false" ht="15" hidden="false" customHeight="false" outlineLevel="0" collapsed="false">
      <c r="A185" s="5" t="n">
        <v>184</v>
      </c>
      <c r="B185" s="5" t="s">
        <v>695</v>
      </c>
      <c r="C185" s="5" t="s">
        <v>696</v>
      </c>
      <c r="D185" s="5" t="s">
        <v>697</v>
      </c>
      <c r="E185" s="6" t="s">
        <v>59</v>
      </c>
      <c r="F185" s="5" t="s">
        <v>139</v>
      </c>
      <c r="G185" s="5" t="s">
        <v>140</v>
      </c>
      <c r="H185" s="7" t="n">
        <v>446</v>
      </c>
      <c r="I185" s="8" t="n">
        <f aca="false">H185/$H$202</f>
        <v>0.000450844777984218</v>
      </c>
      <c r="J185" s="5" t="s">
        <v>62</v>
      </c>
      <c r="K185" s="7"/>
      <c r="L185" s="7"/>
      <c r="M185" s="7" t="n">
        <v>248</v>
      </c>
      <c r="N185" s="7"/>
      <c r="O185" s="7"/>
    </row>
    <row r="186" customFormat="false" ht="15" hidden="false" customHeight="false" outlineLevel="0" collapsed="false">
      <c r="A186" s="5" t="n">
        <v>185</v>
      </c>
      <c r="B186" s="5" t="s">
        <v>698</v>
      </c>
      <c r="C186" s="5" t="s">
        <v>699</v>
      </c>
      <c r="D186" s="5" t="s">
        <v>700</v>
      </c>
      <c r="E186" s="6" t="s">
        <v>59</v>
      </c>
      <c r="F186" s="5" t="s">
        <v>134</v>
      </c>
      <c r="G186" s="5" t="s">
        <v>460</v>
      </c>
      <c r="H186" s="7" t="n">
        <v>440</v>
      </c>
      <c r="I186" s="8" t="n">
        <f aca="false">H186/$H$202</f>
        <v>0.000444779601598781</v>
      </c>
      <c r="J186" s="5" t="s">
        <v>62</v>
      </c>
      <c r="K186" s="7" t="n">
        <v>82</v>
      </c>
      <c r="L186" s="7"/>
      <c r="M186" s="7" t="n">
        <v>90</v>
      </c>
      <c r="N186" s="7"/>
      <c r="O186" s="7" t="n">
        <v>200</v>
      </c>
    </row>
    <row r="187" customFormat="false" ht="15" hidden="false" customHeight="false" outlineLevel="0" collapsed="false">
      <c r="A187" s="5" t="n">
        <v>186</v>
      </c>
      <c r="B187" s="5" t="s">
        <v>701</v>
      </c>
      <c r="C187" s="5" t="s">
        <v>702</v>
      </c>
      <c r="D187" s="5" t="s">
        <v>703</v>
      </c>
      <c r="E187" s="6" t="s">
        <v>59</v>
      </c>
      <c r="F187" s="5" t="s">
        <v>60</v>
      </c>
      <c r="G187" s="5" t="s">
        <v>622</v>
      </c>
      <c r="H187" s="7" t="n">
        <v>432</v>
      </c>
      <c r="I187" s="8" t="n">
        <f aca="false">H187/$H$202</f>
        <v>0.00043669269975153</v>
      </c>
      <c r="J187" s="5" t="s">
        <v>62</v>
      </c>
      <c r="K187" s="7"/>
      <c r="L187" s="7"/>
      <c r="M187" s="7" t="n">
        <v>33</v>
      </c>
      <c r="N187" s="7"/>
      <c r="O187" s="7" t="n">
        <v>308</v>
      </c>
    </row>
    <row r="188" customFormat="false" ht="15" hidden="false" customHeight="false" outlineLevel="0" collapsed="false">
      <c r="A188" s="5" t="n">
        <v>187</v>
      </c>
      <c r="B188" s="5" t="s">
        <v>704</v>
      </c>
      <c r="C188" s="5" t="s">
        <v>705</v>
      </c>
      <c r="D188" s="5" t="s">
        <v>706</v>
      </c>
      <c r="E188" s="6" t="s">
        <v>59</v>
      </c>
      <c r="F188" s="5" t="s">
        <v>134</v>
      </c>
      <c r="G188" s="5" t="s">
        <v>460</v>
      </c>
      <c r="H188" s="7" t="n">
        <v>430</v>
      </c>
      <c r="I188" s="8" t="n">
        <f aca="false">H188/$H$202</f>
        <v>0.000434670974289717</v>
      </c>
      <c r="J188" s="5" t="s">
        <v>62</v>
      </c>
      <c r="K188" s="7" t="n">
        <v>95</v>
      </c>
      <c r="L188" s="7"/>
      <c r="M188" s="7" t="n">
        <v>68</v>
      </c>
      <c r="N188" s="7"/>
      <c r="O188" s="7"/>
    </row>
    <row r="189" customFormat="false" ht="15" hidden="false" customHeight="false" outlineLevel="0" collapsed="false">
      <c r="A189" s="5" t="n">
        <v>188</v>
      </c>
      <c r="B189" s="5" t="s">
        <v>707</v>
      </c>
      <c r="C189" s="5" t="s">
        <v>708</v>
      </c>
      <c r="D189" s="5" t="s">
        <v>709</v>
      </c>
      <c r="E189" s="6" t="s">
        <v>59</v>
      </c>
      <c r="F189" s="5" t="s">
        <v>60</v>
      </c>
      <c r="G189" s="5" t="s">
        <v>95</v>
      </c>
      <c r="H189" s="7" t="n">
        <v>428</v>
      </c>
      <c r="I189" s="8" t="n">
        <f aca="false">H189/$H$202</f>
        <v>0.000432649248827905</v>
      </c>
      <c r="J189" s="5" t="s">
        <v>62</v>
      </c>
      <c r="K189" s="7" t="n">
        <v>1213</v>
      </c>
      <c r="L189" s="7"/>
      <c r="M189" s="7" t="n">
        <v>197</v>
      </c>
      <c r="N189" s="7"/>
      <c r="O189" s="7"/>
    </row>
    <row r="190" customFormat="false" ht="15" hidden="false" customHeight="false" outlineLevel="0" collapsed="false">
      <c r="A190" s="5" t="n">
        <v>189</v>
      </c>
      <c r="B190" s="5" t="s">
        <v>710</v>
      </c>
      <c r="C190" s="5" t="s">
        <v>711</v>
      </c>
      <c r="D190" s="5" t="s">
        <v>712</v>
      </c>
      <c r="E190" s="9" t="s">
        <v>66</v>
      </c>
      <c r="F190" s="5" t="s">
        <v>239</v>
      </c>
      <c r="G190" s="5" t="s">
        <v>240</v>
      </c>
      <c r="H190" s="7" t="n">
        <v>425</v>
      </c>
      <c r="I190" s="8" t="n">
        <f aca="false">H190/$H$202</f>
        <v>0.000429616660635186</v>
      </c>
      <c r="J190" s="5" t="s">
        <v>713</v>
      </c>
      <c r="K190" s="7"/>
      <c r="L190" s="7"/>
      <c r="M190" s="7" t="n">
        <v>67</v>
      </c>
      <c r="N190" s="7"/>
      <c r="O190" s="7"/>
    </row>
    <row r="191" customFormat="false" ht="15" hidden="false" customHeight="false" outlineLevel="0" collapsed="false">
      <c r="A191" s="5" t="n">
        <v>190</v>
      </c>
      <c r="B191" s="5" t="s">
        <v>714</v>
      </c>
      <c r="C191" s="5" t="s">
        <v>715</v>
      </c>
      <c r="D191" s="5" t="s">
        <v>716</v>
      </c>
      <c r="E191" s="6" t="s">
        <v>59</v>
      </c>
      <c r="F191" s="5" t="s">
        <v>83</v>
      </c>
      <c r="G191" s="5" t="s">
        <v>206</v>
      </c>
      <c r="H191" s="7" t="n">
        <v>421</v>
      </c>
      <c r="I191" s="8" t="n">
        <f aca="false">H191/$H$202</f>
        <v>0.00042557320971156</v>
      </c>
      <c r="J191" s="5" t="s">
        <v>62</v>
      </c>
      <c r="K191" s="7" t="n">
        <v>306</v>
      </c>
      <c r="L191" s="7"/>
      <c r="M191" s="7" t="n">
        <v>17</v>
      </c>
      <c r="N191" s="7" t="n">
        <v>72</v>
      </c>
      <c r="O191" s="7"/>
    </row>
    <row r="192" customFormat="false" ht="15" hidden="false" customHeight="false" outlineLevel="0" collapsed="false">
      <c r="A192" s="5" t="n">
        <v>191</v>
      </c>
      <c r="B192" s="5" t="s">
        <v>717</v>
      </c>
      <c r="C192" s="5" t="s">
        <v>718</v>
      </c>
      <c r="D192" s="5" t="s">
        <v>719</v>
      </c>
      <c r="E192" s="6" t="s">
        <v>59</v>
      </c>
      <c r="F192" s="5" t="s">
        <v>73</v>
      </c>
      <c r="G192" s="5" t="s">
        <v>74</v>
      </c>
      <c r="H192" s="7" t="n">
        <v>421</v>
      </c>
      <c r="I192" s="8" t="n">
        <f aca="false">H192/$H$202</f>
        <v>0.00042557320971156</v>
      </c>
      <c r="J192" s="5" t="s">
        <v>62</v>
      </c>
      <c r="K192" s="7" t="n">
        <v>227</v>
      </c>
      <c r="L192" s="7"/>
      <c r="M192" s="7" t="n">
        <v>113</v>
      </c>
      <c r="N192" s="7" t="n">
        <v>64</v>
      </c>
      <c r="O192" s="7"/>
    </row>
    <row r="193" customFormat="false" ht="15" hidden="false" customHeight="false" outlineLevel="0" collapsed="false">
      <c r="A193" s="5" t="n">
        <v>192</v>
      </c>
      <c r="B193" s="5" t="s">
        <v>720</v>
      </c>
      <c r="C193" s="5" t="s">
        <v>721</v>
      </c>
      <c r="D193" s="5" t="s">
        <v>722</v>
      </c>
      <c r="E193" s="10" t="s">
        <v>82</v>
      </c>
      <c r="F193" s="5" t="s">
        <v>503</v>
      </c>
      <c r="G193" s="5" t="s">
        <v>723</v>
      </c>
      <c r="H193" s="7" t="n">
        <v>421</v>
      </c>
      <c r="I193" s="8" t="n">
        <f aca="false">H193/$H$202</f>
        <v>0.00042557320971156</v>
      </c>
      <c r="J193" s="5" t="s">
        <v>724</v>
      </c>
      <c r="K193" s="7" t="n">
        <v>152</v>
      </c>
      <c r="L193" s="7"/>
      <c r="M193" s="7" t="n">
        <v>125</v>
      </c>
      <c r="N193" s="7" t="n">
        <v>53</v>
      </c>
      <c r="O193" s="7"/>
    </row>
    <row r="194" customFormat="false" ht="15" hidden="false" customHeight="false" outlineLevel="0" collapsed="false">
      <c r="A194" s="5" t="n">
        <v>193</v>
      </c>
      <c r="B194" s="5" t="s">
        <v>725</v>
      </c>
      <c r="C194" s="5" t="s">
        <v>726</v>
      </c>
      <c r="D194" s="5" t="s">
        <v>727</v>
      </c>
      <c r="E194" s="9" t="s">
        <v>66</v>
      </c>
      <c r="F194" s="5" t="s">
        <v>188</v>
      </c>
      <c r="G194" s="5" t="s">
        <v>189</v>
      </c>
      <c r="H194" s="7" t="n">
        <v>419</v>
      </c>
      <c r="I194" s="8" t="n">
        <f aca="false">H194/$H$202</f>
        <v>0.000423551484249748</v>
      </c>
      <c r="J194" s="5" t="s">
        <v>728</v>
      </c>
      <c r="K194" s="7"/>
      <c r="L194" s="7"/>
      <c r="M194" s="7"/>
      <c r="N194" s="7"/>
      <c r="O194" s="7"/>
    </row>
    <row r="195" customFormat="false" ht="15" hidden="false" customHeight="false" outlineLevel="0" collapsed="false">
      <c r="A195" s="5" t="n">
        <v>194</v>
      </c>
      <c r="B195" s="5" t="s">
        <v>729</v>
      </c>
      <c r="C195" s="5" t="s">
        <v>730</v>
      </c>
      <c r="D195" s="5" t="s">
        <v>731</v>
      </c>
      <c r="E195" s="6" t="s">
        <v>59</v>
      </c>
      <c r="F195" s="5" t="s">
        <v>89</v>
      </c>
      <c r="G195" s="5" t="s">
        <v>90</v>
      </c>
      <c r="H195" s="7" t="n">
        <v>418</v>
      </c>
      <c r="I195" s="8" t="n">
        <f aca="false">H195/$H$202</f>
        <v>0.000422540621518842</v>
      </c>
      <c r="J195" s="5" t="s">
        <v>62</v>
      </c>
      <c r="K195" s="7" t="n">
        <v>216</v>
      </c>
      <c r="L195" s="7" t="n">
        <v>98</v>
      </c>
      <c r="M195" s="7"/>
      <c r="N195" s="7"/>
      <c r="O195" s="7"/>
    </row>
    <row r="196" customFormat="false" ht="15" hidden="false" customHeight="false" outlineLevel="0" collapsed="false">
      <c r="A196" s="5" t="n">
        <v>195</v>
      </c>
      <c r="B196" s="5" t="s">
        <v>732</v>
      </c>
      <c r="C196" s="5" t="s">
        <v>733</v>
      </c>
      <c r="D196" s="5" t="s">
        <v>734</v>
      </c>
      <c r="E196" s="6" t="s">
        <v>59</v>
      </c>
      <c r="F196" s="5" t="s">
        <v>503</v>
      </c>
      <c r="G196" s="5" t="s">
        <v>735</v>
      </c>
      <c r="H196" s="7" t="n">
        <v>409</v>
      </c>
      <c r="I196" s="8" t="n">
        <f aca="false">H196/$H$202</f>
        <v>0.000413442856940685</v>
      </c>
      <c r="J196" s="5" t="s">
        <v>62</v>
      </c>
      <c r="K196" s="7" t="n">
        <v>47</v>
      </c>
      <c r="L196" s="7" t="n">
        <v>288</v>
      </c>
      <c r="M196" s="7" t="n">
        <v>49</v>
      </c>
      <c r="N196" s="7"/>
      <c r="O196" s="7"/>
    </row>
    <row r="197" customFormat="false" ht="15" hidden="false" customHeight="false" outlineLevel="0" collapsed="false">
      <c r="A197" s="5" t="n">
        <v>196</v>
      </c>
      <c r="B197" s="5" t="s">
        <v>736</v>
      </c>
      <c r="C197" s="5" t="s">
        <v>737</v>
      </c>
      <c r="D197" s="5" t="s">
        <v>738</v>
      </c>
      <c r="E197" s="6" t="s">
        <v>59</v>
      </c>
      <c r="F197" s="5" t="s">
        <v>503</v>
      </c>
      <c r="G197" s="5" t="s">
        <v>504</v>
      </c>
      <c r="H197" s="7" t="n">
        <v>402</v>
      </c>
      <c r="I197" s="8" t="n">
        <f aca="false">H197/$H$202</f>
        <v>0.00040636681782434</v>
      </c>
      <c r="J197" s="5" t="s">
        <v>62</v>
      </c>
      <c r="K197" s="7" t="n">
        <v>18</v>
      </c>
      <c r="L197" s="7"/>
      <c r="M197" s="7" t="n">
        <v>23</v>
      </c>
      <c r="N197" s="7"/>
      <c r="O197" s="7"/>
    </row>
    <row r="198" customFormat="false" ht="15" hidden="false" customHeight="false" outlineLevel="0" collapsed="false">
      <c r="A198" s="5" t="n">
        <v>197</v>
      </c>
      <c r="B198" s="5" t="s">
        <v>739</v>
      </c>
      <c r="C198" s="5" t="s">
        <v>740</v>
      </c>
      <c r="D198" s="5" t="s">
        <v>741</v>
      </c>
      <c r="E198" s="6" t="s">
        <v>59</v>
      </c>
      <c r="F198" s="5" t="s">
        <v>239</v>
      </c>
      <c r="G198" s="5" t="s">
        <v>240</v>
      </c>
      <c r="H198" s="7" t="n">
        <v>397</v>
      </c>
      <c r="I198" s="8" t="n">
        <f aca="false">H198/$H$202</f>
        <v>0.000401312504169809</v>
      </c>
      <c r="J198" s="5" t="s">
        <v>62</v>
      </c>
      <c r="K198" s="7"/>
      <c r="L198" s="7"/>
      <c r="M198" s="7" t="n">
        <v>109</v>
      </c>
      <c r="N198" s="7"/>
      <c r="O198" s="7"/>
    </row>
    <row r="199" customFormat="false" ht="15" hidden="false" customHeight="false" outlineLevel="0" collapsed="false">
      <c r="A199" s="5" t="n">
        <v>198</v>
      </c>
      <c r="B199" s="5" t="s">
        <v>742</v>
      </c>
      <c r="C199" s="5" t="s">
        <v>743</v>
      </c>
      <c r="D199" s="5" t="s">
        <v>744</v>
      </c>
      <c r="E199" s="10" t="s">
        <v>82</v>
      </c>
      <c r="F199" s="5" t="s">
        <v>275</v>
      </c>
      <c r="G199" s="5" t="s">
        <v>276</v>
      </c>
      <c r="H199" s="7" t="n">
        <v>395</v>
      </c>
      <c r="I199" s="8" t="n">
        <f aca="false">H199/$H$202</f>
        <v>0.000399290778707996</v>
      </c>
      <c r="J199" s="5" t="s">
        <v>745</v>
      </c>
      <c r="K199" s="7"/>
      <c r="L199" s="7"/>
      <c r="M199" s="7" t="n">
        <v>74</v>
      </c>
      <c r="N199" s="7"/>
      <c r="O199" s="7"/>
    </row>
    <row r="200" customFormat="false" ht="15" hidden="false" customHeight="false" outlineLevel="0" collapsed="false">
      <c r="A200" s="5" t="n">
        <v>199</v>
      </c>
      <c r="B200" s="5" t="s">
        <v>746</v>
      </c>
      <c r="C200" s="5" t="s">
        <v>747</v>
      </c>
      <c r="D200" s="5" t="s">
        <v>748</v>
      </c>
      <c r="E200" s="6" t="s">
        <v>59</v>
      </c>
      <c r="F200" s="5" t="s">
        <v>60</v>
      </c>
      <c r="G200" s="5" t="s">
        <v>622</v>
      </c>
      <c r="H200" s="7" t="n">
        <v>395</v>
      </c>
      <c r="I200" s="8" t="n">
        <f aca="false">H200/$H$202</f>
        <v>0.000399290778707996</v>
      </c>
      <c r="J200" s="5" t="s">
        <v>62</v>
      </c>
      <c r="K200" s="7" t="n">
        <v>179</v>
      </c>
      <c r="L200" s="7"/>
      <c r="M200" s="7" t="n">
        <v>118</v>
      </c>
      <c r="N200" s="7" t="n">
        <v>97</v>
      </c>
      <c r="O200" s="7"/>
    </row>
    <row r="201" customFormat="false" ht="15" hidden="false" customHeight="false" outlineLevel="0" collapsed="false">
      <c r="A201" s="5" t="n">
        <v>200</v>
      </c>
      <c r="B201" s="5" t="s">
        <v>749</v>
      </c>
      <c r="C201" s="5" t="s">
        <v>750</v>
      </c>
      <c r="D201" s="5" t="s">
        <v>751</v>
      </c>
      <c r="E201" s="6" t="s">
        <v>59</v>
      </c>
      <c r="F201" s="5" t="s">
        <v>134</v>
      </c>
      <c r="G201" s="5" t="s">
        <v>460</v>
      </c>
      <c r="H201" s="7" t="n">
        <v>385</v>
      </c>
      <c r="I201" s="8" t="n">
        <f aca="false">H201/$H$202</f>
        <v>0.000389182151398933</v>
      </c>
      <c r="J201" s="5" t="s">
        <v>62</v>
      </c>
      <c r="K201" s="7"/>
      <c r="L201" s="7"/>
      <c r="M201" s="7" t="n">
        <v>148</v>
      </c>
      <c r="N201" s="7"/>
      <c r="O201" s="7"/>
    </row>
    <row r="202" customFormat="false" ht="15" hidden="false" customHeight="false" outlineLevel="0" collapsed="false">
      <c r="A202" s="11" t="s">
        <v>752</v>
      </c>
      <c r="H202" s="12" t="n">
        <f aca="false">SUM(H2:H201)</f>
        <v>989254</v>
      </c>
      <c r="K202" s="12" t="n">
        <f aca="false">SUM(K2:K201)</f>
        <v>145634</v>
      </c>
      <c r="L202" s="12" t="n">
        <f aca="false">SUM(L2:L201)</f>
        <v>29956</v>
      </c>
      <c r="M202" s="12" t="n">
        <f aca="false">SUM(M2:M201)</f>
        <v>147785</v>
      </c>
      <c r="N202" s="12" t="n">
        <f aca="false">SUM(N2:N201)</f>
        <v>25739</v>
      </c>
      <c r="O202" s="12" t="n">
        <f aca="false">SUM(O2:O201)</f>
        <v>111837</v>
      </c>
    </row>
  </sheetData>
  <autoFilter ref="A1:O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3" t="s">
        <v>753</v>
      </c>
    </row>
    <row r="3" customFormat="false" ht="31.5" hidden="false" customHeight="true" outlineLevel="0" collapsed="false">
      <c r="A3" s="4" t="s">
        <v>45</v>
      </c>
      <c r="B3" s="4" t="s">
        <v>754</v>
      </c>
      <c r="C3" s="4" t="s">
        <v>48</v>
      </c>
      <c r="D3" s="4" t="s">
        <v>49</v>
      </c>
      <c r="E3" s="4" t="s">
        <v>755</v>
      </c>
      <c r="F3" s="4" t="s">
        <v>756</v>
      </c>
    </row>
    <row r="4" customFormat="false" ht="15" hidden="false" customHeight="false" outlineLevel="0" collapsed="false">
      <c r="A4" s="14" t="s">
        <v>757</v>
      </c>
      <c r="B4" s="5" t="n">
        <f aca="false">COUNTIF('Firm level'!$E$2:$E$201,"SOE")</f>
        <v>74</v>
      </c>
      <c r="C4" s="7" t="n">
        <f aca="false">SUMIF('Firm level'!$E$2:$E$201,"SOE",'Firm level'!$H$2:$H$201)</f>
        <v>445558</v>
      </c>
      <c r="D4" s="8" t="n">
        <f aca="false">C4/$C$7</f>
        <v>0.450397976657158</v>
      </c>
      <c r="E4" s="8" t="n">
        <f aca="false">C4/$B$10</f>
        <v>0.168128749858496</v>
      </c>
      <c r="F4" s="7" t="n">
        <f aca="false">C4/B4</f>
        <v>6021.05405405405</v>
      </c>
    </row>
    <row r="5" customFormat="false" ht="15" hidden="false" customHeight="false" outlineLevel="0" collapsed="false">
      <c r="A5" s="15" t="s">
        <v>758</v>
      </c>
      <c r="B5" s="5" t="n">
        <f aca="false">COUNTIF('Firm level'!$E$2:$E$201,"Private")</f>
        <v>99</v>
      </c>
      <c r="C5" s="7" t="n">
        <f aca="false">SUMIF('Firm level'!$E$2:$E$201,"Private",'Firm level'!$H$2:$H$201)</f>
        <v>390311</v>
      </c>
      <c r="D5" s="8" t="n">
        <f aca="false">C5/$C$7</f>
        <v>0.394550843362776</v>
      </c>
      <c r="E5" s="8" t="n">
        <f aca="false">C5/$B$10</f>
        <v>0.147281612014641</v>
      </c>
      <c r="F5" s="7" t="n">
        <f aca="false">C5/B5</f>
        <v>3942.53535353535</v>
      </c>
    </row>
    <row r="6" customFormat="false" ht="15" hidden="false" customHeight="false" outlineLevel="0" collapsed="false">
      <c r="A6" s="16" t="s">
        <v>759</v>
      </c>
      <c r="B6" s="5" t="n">
        <f aca="false">COUNTIF('Firm level'!$E$2:$E$201,"FDI")</f>
        <v>27</v>
      </c>
      <c r="C6" s="7" t="n">
        <f aca="false">SUMIF('Firm level'!$E$2:$E$201,"FDI",'Firm level'!$H$2:$H$201)</f>
        <v>153385</v>
      </c>
      <c r="D6" s="8" t="n">
        <f aca="false">C6/$C$7</f>
        <v>0.155051179980066</v>
      </c>
      <c r="E6" s="8" t="n">
        <f aca="false">C6/$B$10</f>
        <v>0.0578789479642278</v>
      </c>
      <c r="F6" s="7" t="n">
        <f aca="false">C6/B6</f>
        <v>5680.92592592593</v>
      </c>
    </row>
    <row r="7" customFormat="false" ht="15" hidden="false" customHeight="false" outlineLevel="0" collapsed="false">
      <c r="A7" s="11" t="s">
        <v>760</v>
      </c>
      <c r="B7" s="17" t="n">
        <f aca="false">SUM(B4:B6)</f>
        <v>200</v>
      </c>
      <c r="C7" s="17" t="n">
        <f aca="false">SUM(C4:C6)</f>
        <v>989254</v>
      </c>
      <c r="D7" s="18" t="n">
        <f aca="false">C7/$C$7</f>
        <v>1</v>
      </c>
      <c r="E7" s="18" t="n">
        <f aca="false">C7/$B$10</f>
        <v>0.373289309837365</v>
      </c>
      <c r="F7" s="17" t="n">
        <f aca="false">C7/B7</f>
        <v>4946.27</v>
      </c>
    </row>
    <row r="10" customFormat="false" ht="15" hidden="false" customHeight="false" outlineLevel="0" collapsed="false">
      <c r="A10" s="19" t="s">
        <v>761</v>
      </c>
      <c r="B10" s="20" t="n">
        <v>2650100</v>
      </c>
      <c r="C10" s="21" t="s">
        <v>762</v>
      </c>
    </row>
    <row r="12" customFormat="false" ht="15" hidden="false" customHeight="false" outlineLevel="0" collapsed="false">
      <c r="A12" s="3" t="s">
        <v>763</v>
      </c>
      <c r="B12" s="22" t="n">
        <f aca="false">C4</f>
        <v>445558</v>
      </c>
      <c r="C12" s="23" t="n">
        <f aca="false">B12/$C$7</f>
        <v>0.450397976657158</v>
      </c>
    </row>
    <row r="13" customFormat="false" ht="15" hidden="false" customHeight="false" outlineLevel="0" collapsed="false">
      <c r="A13" s="3" t="s">
        <v>764</v>
      </c>
      <c r="B13" s="22" t="n">
        <f aca="false">C5+C6</f>
        <v>543696</v>
      </c>
      <c r="C13" s="23" t="n">
        <f aca="false">B13/$C$7</f>
        <v>0.549602023342842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7"/>
  </cols>
  <sheetData>
    <row r="1" customFormat="false" ht="16.15" hidden="false" customHeight="false" outlineLevel="0" collapsed="false">
      <c r="A1" s="13" t="s">
        <v>765</v>
      </c>
    </row>
    <row r="3" customFormat="false" ht="31.5" hidden="false" customHeight="true" outlineLevel="0" collapsed="false">
      <c r="A3" s="4" t="s">
        <v>46</v>
      </c>
      <c r="B3" s="4" t="s">
        <v>754</v>
      </c>
      <c r="C3" s="4" t="s">
        <v>66</v>
      </c>
      <c r="D3" s="4" t="s">
        <v>758</v>
      </c>
      <c r="E3" s="4" t="s">
        <v>82</v>
      </c>
      <c r="F3" s="4" t="s">
        <v>766</v>
      </c>
      <c r="G3" s="4" t="s">
        <v>49</v>
      </c>
      <c r="H3" s="4" t="s">
        <v>767</v>
      </c>
    </row>
    <row r="4" customFormat="false" ht="15" hidden="false" customHeight="false" outlineLevel="0" collapsed="false">
      <c r="A4" s="5" t="s">
        <v>60</v>
      </c>
      <c r="B4" s="5" t="n">
        <f aca="false">COUNTIF('Firm level'!$F$2:$F$201,$A4)</f>
        <v>32</v>
      </c>
      <c r="C4" s="7" t="n">
        <f aca="false">SUMIFS('Firm level'!$H$2:$H$201,'Firm level'!$F$2:$F$201,$A4,'Firm level'!$E$2:$E$201,"SOE")</f>
        <v>5228</v>
      </c>
      <c r="D4" s="7" t="n">
        <f aca="false">SUMIFS('Firm level'!$H$2:$H$201,'Firm level'!$F$2:$F$201,$A4,'Firm level'!$E$2:$E$201,"Private")</f>
        <v>213029</v>
      </c>
      <c r="E4" s="7" t="n">
        <f aca="false">SUMIFS('Firm level'!$H$2:$H$201,'Firm level'!$F$2:$F$201,$A4,'Firm level'!$E$2:$E$201,"FDI")</f>
        <v>16577</v>
      </c>
      <c r="F4" s="7" t="n">
        <f aca="false">SUM(C4:E4)</f>
        <v>234834</v>
      </c>
      <c r="G4" s="8" t="n">
        <f aca="false">F4/$F$26</f>
        <v>0.237384938549655</v>
      </c>
      <c r="H4" s="8" t="n">
        <f aca="false">IF(F4=0,"",C4/F4)</f>
        <v>0.0222625343859918</v>
      </c>
    </row>
    <row r="5" customFormat="false" ht="15" hidden="false" customHeight="false" outlineLevel="0" collapsed="false">
      <c r="A5" s="5" t="s">
        <v>67</v>
      </c>
      <c r="B5" s="5" t="n">
        <f aca="false">COUNTIF('Firm level'!$F$2:$F$201,$A5)</f>
        <v>7</v>
      </c>
      <c r="C5" s="7" t="n">
        <f aca="false">SUMIFS('Firm level'!$H$2:$H$201,'Firm level'!$F$2:$F$201,$A5,'Firm level'!$E$2:$E$201,"SOE")</f>
        <v>145800</v>
      </c>
      <c r="D5" s="7" t="n">
        <f aca="false">SUMIFS('Firm level'!$H$2:$H$201,'Firm level'!$F$2:$F$201,$A5,'Firm level'!$E$2:$E$201,"Private")</f>
        <v>3468</v>
      </c>
      <c r="E5" s="7" t="n">
        <f aca="false">SUMIFS('Firm level'!$H$2:$H$201,'Firm level'!$F$2:$F$201,$A5,'Firm level'!$E$2:$E$201,"FDI")</f>
        <v>23000</v>
      </c>
      <c r="F5" s="7" t="n">
        <f aca="false">SUM(C5:E5)</f>
        <v>172268</v>
      </c>
      <c r="G5" s="8" t="n">
        <f aca="false">F5/$F$26</f>
        <v>0.17413930092777</v>
      </c>
      <c r="H5" s="8" t="n">
        <f aca="false">IF(F5=0,"",C5/F5)</f>
        <v>0.846355678361623</v>
      </c>
    </row>
    <row r="6" customFormat="false" ht="15" hidden="false" customHeight="false" outlineLevel="0" collapsed="false">
      <c r="A6" s="5" t="s">
        <v>139</v>
      </c>
      <c r="B6" s="5" t="n">
        <f aca="false">COUNTIF('Firm level'!$F$2:$F$201,$A6)</f>
        <v>23</v>
      </c>
      <c r="C6" s="7" t="n">
        <f aca="false">SUMIFS('Firm level'!$H$2:$H$201,'Firm level'!$F$2:$F$201,$A6,'Firm level'!$E$2:$E$201,"SOE")</f>
        <v>51783</v>
      </c>
      <c r="D6" s="7" t="n">
        <f aca="false">SUMIFS('Firm level'!$H$2:$H$201,'Firm level'!$F$2:$F$201,$A6,'Firm level'!$E$2:$E$201,"Private")</f>
        <v>52126</v>
      </c>
      <c r="E6" s="7" t="n">
        <f aca="false">SUMIFS('Firm level'!$H$2:$H$201,'Firm level'!$F$2:$F$201,$A6,'Firm level'!$E$2:$E$201,"FDI")</f>
        <v>694</v>
      </c>
      <c r="F6" s="7" t="n">
        <f aca="false">SUM(C6:E6)</f>
        <v>104603</v>
      </c>
      <c r="G6" s="8" t="n">
        <f aca="false">F6/$F$26</f>
        <v>0.105739274240994</v>
      </c>
      <c r="H6" s="8" t="n">
        <f aca="false">IF(F6=0,"",C6/F6)</f>
        <v>0.495043163197996</v>
      </c>
    </row>
    <row r="7" customFormat="false" ht="15" hidden="false" customHeight="false" outlineLevel="0" collapsed="false">
      <c r="A7" s="5" t="s">
        <v>89</v>
      </c>
      <c r="B7" s="5" t="n">
        <f aca="false">COUNTIF('Firm level'!$F$2:$F$201,$A7)</f>
        <v>13</v>
      </c>
      <c r="C7" s="7" t="n">
        <f aca="false">SUMIFS('Firm level'!$H$2:$H$201,'Firm level'!$F$2:$F$201,$A7,'Firm level'!$E$2:$E$201,"SOE")</f>
        <v>468</v>
      </c>
      <c r="D7" s="7" t="n">
        <f aca="false">SUMIFS('Firm level'!$H$2:$H$201,'Firm level'!$F$2:$F$201,$A7,'Firm level'!$E$2:$E$201,"Private")</f>
        <v>39684</v>
      </c>
      <c r="E7" s="7" t="n">
        <f aca="false">SUMIFS('Firm level'!$H$2:$H$201,'Firm level'!$F$2:$F$201,$A7,'Firm level'!$E$2:$E$201,"FDI")</f>
        <v>53180</v>
      </c>
      <c r="F7" s="7" t="n">
        <f aca="false">SUM(C7:E7)</f>
        <v>93332</v>
      </c>
      <c r="G7" s="8" t="n">
        <f aca="false">F7/$F$26</f>
        <v>0.0943458404009486</v>
      </c>
      <c r="H7" s="8" t="n">
        <f aca="false">IF(F7=0,"",C7/F7)</f>
        <v>0.00501435734796211</v>
      </c>
    </row>
    <row r="8" customFormat="false" ht="15" hidden="false" customHeight="false" outlineLevel="0" collapsed="false">
      <c r="A8" s="5" t="s">
        <v>83</v>
      </c>
      <c r="B8" s="5" t="n">
        <f aca="false">COUNTIF('Firm level'!$F$2:$F$201,$A8)</f>
        <v>19</v>
      </c>
      <c r="C8" s="7" t="n">
        <f aca="false">SUMIFS('Firm level'!$H$2:$H$201,'Firm level'!$F$2:$F$201,$A8,'Firm level'!$E$2:$E$201,"SOE")</f>
        <v>4693</v>
      </c>
      <c r="D8" s="7" t="n">
        <f aca="false">SUMIFS('Firm level'!$H$2:$H$201,'Firm level'!$F$2:$F$201,$A8,'Firm level'!$E$2:$E$201,"Private")</f>
        <v>16105</v>
      </c>
      <c r="E8" s="7" t="n">
        <f aca="false">SUMIFS('Firm level'!$H$2:$H$201,'Firm level'!$F$2:$F$201,$A8,'Firm level'!$E$2:$E$201,"FDI")</f>
        <v>45917</v>
      </c>
      <c r="F8" s="7" t="n">
        <f aca="false">SUM(C8:E8)</f>
        <v>66715</v>
      </c>
      <c r="G8" s="8" t="n">
        <f aca="false">F8/$F$26</f>
        <v>0.0674397070924151</v>
      </c>
      <c r="H8" s="8" t="n">
        <f aca="false">IF(F8=0,"",C8/F8)</f>
        <v>0.0703440005995653</v>
      </c>
    </row>
    <row r="9" customFormat="false" ht="15" hidden="false" customHeight="false" outlineLevel="0" collapsed="false">
      <c r="A9" s="5" t="s">
        <v>73</v>
      </c>
      <c r="B9" s="5" t="n">
        <f aca="false">COUNTIF('Firm level'!$F$2:$F$201,$A9)</f>
        <v>8</v>
      </c>
      <c r="C9" s="7" t="n">
        <f aca="false">SUMIFS('Firm level'!$H$2:$H$201,'Firm level'!$F$2:$F$201,$A9,'Firm level'!$E$2:$E$201,"SOE")</f>
        <v>49868</v>
      </c>
      <c r="D9" s="7" t="n">
        <f aca="false">SUMIFS('Firm level'!$H$2:$H$201,'Firm level'!$F$2:$F$201,$A9,'Firm level'!$E$2:$E$201,"Private")</f>
        <v>14363</v>
      </c>
      <c r="E9" s="7" t="n">
        <f aca="false">SUMIFS('Firm level'!$H$2:$H$201,'Firm level'!$F$2:$F$201,$A9,'Firm level'!$E$2:$E$201,"FDI")</f>
        <v>1000</v>
      </c>
      <c r="F9" s="7" t="n">
        <f aca="false">SUM(C9:E9)</f>
        <v>65231</v>
      </c>
      <c r="G9" s="8" t="n">
        <f aca="false">F9/$F$26</f>
        <v>0.0659395867997501</v>
      </c>
      <c r="H9" s="8" t="n">
        <f aca="false">IF(F9=0,"",C9/F9)</f>
        <v>0.764483144517178</v>
      </c>
    </row>
    <row r="10" customFormat="false" ht="15" hidden="false" customHeight="false" outlineLevel="0" collapsed="false">
      <c r="A10" s="5" t="s">
        <v>280</v>
      </c>
      <c r="B10" s="5" t="n">
        <f aca="false">COUNTIF('Firm level'!$F$2:$F$201,$A10)</f>
        <v>21</v>
      </c>
      <c r="C10" s="7" t="n">
        <f aca="false">SUMIFS('Firm level'!$H$2:$H$201,'Firm level'!$F$2:$F$201,$A10,'Firm level'!$E$2:$E$201,"SOE")</f>
        <v>53499</v>
      </c>
      <c r="D10" s="7" t="n">
        <f aca="false">SUMIFS('Firm level'!$H$2:$H$201,'Firm level'!$F$2:$F$201,$A10,'Firm level'!$E$2:$E$201,"Private")</f>
        <v>0</v>
      </c>
      <c r="E10" s="7" t="n">
        <f aca="false">SUMIFS('Firm level'!$H$2:$H$201,'Firm level'!$F$2:$F$201,$A10,'Firm level'!$E$2:$E$201,"FDI")</f>
        <v>0</v>
      </c>
      <c r="F10" s="7" t="n">
        <f aca="false">SUM(C10:E10)</f>
        <v>53499</v>
      </c>
      <c r="G10" s="8" t="n">
        <f aca="false">F10/$F$26</f>
        <v>0.0540801452407572</v>
      </c>
      <c r="H10" s="8" t="n">
        <f aca="false">IF(F10=0,"",C10/F10)</f>
        <v>1</v>
      </c>
    </row>
    <row r="11" customFormat="false" ht="15" hidden="false" customHeight="false" outlineLevel="0" collapsed="false">
      <c r="A11" s="5" t="s">
        <v>118</v>
      </c>
      <c r="B11" s="5" t="n">
        <f aca="false">COUNTIF('Firm level'!$F$2:$F$201,$A11)</f>
        <v>7</v>
      </c>
      <c r="C11" s="7" t="n">
        <f aca="false">SUMIFS('Firm level'!$H$2:$H$201,'Firm level'!$F$2:$F$201,$A11,'Firm level'!$E$2:$E$201,"SOE")</f>
        <v>20891</v>
      </c>
      <c r="D11" s="7" t="n">
        <f aca="false">SUMIFS('Firm level'!$H$2:$H$201,'Firm level'!$F$2:$F$201,$A11,'Firm level'!$E$2:$E$201,"Private")</f>
        <v>11459</v>
      </c>
      <c r="E11" s="7" t="n">
        <f aca="false">SUMIFS('Firm level'!$H$2:$H$201,'Firm level'!$F$2:$F$201,$A11,'Firm level'!$E$2:$E$201,"FDI")</f>
        <v>0</v>
      </c>
      <c r="F11" s="7" t="n">
        <f aca="false">SUM(C11:E11)</f>
        <v>32350</v>
      </c>
      <c r="G11" s="8" t="n">
        <f aca="false">F11/$F$26</f>
        <v>0.0327014093448194</v>
      </c>
      <c r="H11" s="8" t="n">
        <f aca="false">IF(F11=0,"",C11/F11)</f>
        <v>0.645780525502318</v>
      </c>
    </row>
    <row r="12" customFormat="false" ht="15" hidden="false" customHeight="false" outlineLevel="0" collapsed="false">
      <c r="A12" s="5" t="s">
        <v>107</v>
      </c>
      <c r="B12" s="5" t="n">
        <f aca="false">COUNTIF('Firm level'!$F$2:$F$201,$A12)</f>
        <v>4</v>
      </c>
      <c r="C12" s="7" t="n">
        <f aca="false">SUMIFS('Firm level'!$H$2:$H$201,'Firm level'!$F$2:$F$201,$A12,'Firm level'!$E$2:$E$201,"SOE")</f>
        <v>31720</v>
      </c>
      <c r="D12" s="7" t="n">
        <f aca="false">SUMIFS('Firm level'!$H$2:$H$201,'Firm level'!$F$2:$F$201,$A12,'Firm level'!$E$2:$E$201,"Private")</f>
        <v>0</v>
      </c>
      <c r="E12" s="7" t="n">
        <f aca="false">SUMIFS('Firm level'!$H$2:$H$201,'Firm level'!$F$2:$F$201,$A12,'Firm level'!$E$2:$E$201,"FDI")</f>
        <v>0</v>
      </c>
      <c r="F12" s="7" t="n">
        <f aca="false">SUM(C12:E12)</f>
        <v>31720</v>
      </c>
      <c r="G12" s="8" t="n">
        <f aca="false">F12/$F$26</f>
        <v>0.0320645658243485</v>
      </c>
      <c r="H12" s="8" t="n">
        <f aca="false">IF(F12=0,"",C12/F12)</f>
        <v>1</v>
      </c>
    </row>
    <row r="13" customFormat="false" ht="15" hidden="false" customHeight="false" outlineLevel="0" collapsed="false">
      <c r="A13" s="5" t="s">
        <v>99</v>
      </c>
      <c r="B13" s="5" t="n">
        <f aca="false">COUNTIF('Firm level'!$F$2:$F$201,$A13)</f>
        <v>3</v>
      </c>
      <c r="C13" s="7" t="n">
        <f aca="false">SUMIFS('Firm level'!$H$2:$H$201,'Firm level'!$F$2:$F$201,$A13,'Firm level'!$E$2:$E$201,"SOE")</f>
        <v>26475</v>
      </c>
      <c r="D13" s="7" t="n">
        <f aca="false">SUMIFS('Firm level'!$H$2:$H$201,'Firm level'!$F$2:$F$201,$A13,'Firm level'!$E$2:$E$201,"Private")</f>
        <v>748</v>
      </c>
      <c r="E13" s="7" t="n">
        <f aca="false">SUMIFS('Firm level'!$H$2:$H$201,'Firm level'!$F$2:$F$201,$A13,'Firm level'!$E$2:$E$201,"FDI")</f>
        <v>0</v>
      </c>
      <c r="F13" s="7" t="n">
        <f aca="false">SUM(C13:E13)</f>
        <v>27223</v>
      </c>
      <c r="G13" s="8" t="n">
        <f aca="false">F13/$F$26</f>
        <v>0.0275187161234627</v>
      </c>
      <c r="H13" s="8" t="n">
        <f aca="false">IF(F13=0,"",C13/F13)</f>
        <v>0.972523234030048</v>
      </c>
    </row>
    <row r="14" customFormat="false" ht="15" hidden="false" customHeight="false" outlineLevel="0" collapsed="false">
      <c r="A14" s="5" t="s">
        <v>169</v>
      </c>
      <c r="B14" s="5" t="n">
        <f aca="false">COUNTIF('Firm level'!$F$2:$F$201,$A14)</f>
        <v>5</v>
      </c>
      <c r="C14" s="7" t="n">
        <f aca="false">SUMIFS('Firm level'!$H$2:$H$201,'Firm level'!$F$2:$F$201,$A14,'Firm level'!$E$2:$E$201,"SOE")</f>
        <v>19083</v>
      </c>
      <c r="D14" s="7" t="n">
        <f aca="false">SUMIFS('Firm level'!$H$2:$H$201,'Firm level'!$F$2:$F$201,$A14,'Firm level'!$E$2:$E$201,"Private")</f>
        <v>496</v>
      </c>
      <c r="E14" s="7" t="n">
        <f aca="false">SUMIFS('Firm level'!$H$2:$H$201,'Firm level'!$F$2:$F$201,$A14,'Firm level'!$E$2:$E$201,"FDI")</f>
        <v>0</v>
      </c>
      <c r="F14" s="7" t="n">
        <f aca="false">SUM(C14:E14)</f>
        <v>19579</v>
      </c>
      <c r="G14" s="8" t="n">
        <f aca="false">F14/$F$26</f>
        <v>0.0197916814084148</v>
      </c>
      <c r="H14" s="8" t="n">
        <f aca="false">IF(F14=0,"",C14/F14)</f>
        <v>0.974666734766842</v>
      </c>
    </row>
    <row r="15" customFormat="false" ht="15" hidden="false" customHeight="false" outlineLevel="0" collapsed="false">
      <c r="A15" s="5" t="s">
        <v>134</v>
      </c>
      <c r="B15" s="5" t="n">
        <f aca="false">COUNTIF('Firm level'!$F$2:$F$201,$A15)</f>
        <v>9</v>
      </c>
      <c r="C15" s="7" t="n">
        <f aca="false">SUMIFS('Firm level'!$H$2:$H$201,'Firm level'!$F$2:$F$201,$A15,'Firm level'!$E$2:$E$201,"SOE")</f>
        <v>2037</v>
      </c>
      <c r="D15" s="7" t="n">
        <f aca="false">SUMIFS('Firm level'!$H$2:$H$201,'Firm level'!$F$2:$F$201,$A15,'Firm level'!$E$2:$E$201,"Private")</f>
        <v>16315</v>
      </c>
      <c r="E15" s="7" t="n">
        <f aca="false">SUMIFS('Firm level'!$H$2:$H$201,'Firm level'!$F$2:$F$201,$A15,'Firm level'!$E$2:$E$201,"FDI")</f>
        <v>488</v>
      </c>
      <c r="F15" s="7" t="n">
        <f aca="false">SUM(C15:E15)</f>
        <v>18840</v>
      </c>
      <c r="G15" s="8" t="n">
        <f aca="false">F15/$F$26</f>
        <v>0.0190446538502751</v>
      </c>
      <c r="H15" s="8" t="n">
        <f aca="false">IF(F15=0,"",C15/F15)</f>
        <v>0.10812101910828</v>
      </c>
    </row>
    <row r="16" customFormat="false" ht="15" hidden="false" customHeight="false" outlineLevel="0" collapsed="false">
      <c r="A16" s="5" t="s">
        <v>188</v>
      </c>
      <c r="B16" s="5" t="n">
        <f aca="false">COUNTIF('Firm level'!$F$2:$F$201,$A16)</f>
        <v>5</v>
      </c>
      <c r="C16" s="7" t="n">
        <f aca="false">SUMIFS('Firm level'!$H$2:$H$201,'Firm level'!$F$2:$F$201,$A16,'Firm level'!$E$2:$E$201,"SOE")</f>
        <v>11314</v>
      </c>
      <c r="D16" s="7" t="n">
        <f aca="false">SUMIFS('Firm level'!$H$2:$H$201,'Firm level'!$F$2:$F$201,$A16,'Firm level'!$E$2:$E$201,"Private")</f>
        <v>1809</v>
      </c>
      <c r="E16" s="7" t="n">
        <f aca="false">SUMIFS('Firm level'!$H$2:$H$201,'Firm level'!$F$2:$F$201,$A16,'Firm level'!$E$2:$E$201,"FDI")</f>
        <v>0</v>
      </c>
      <c r="F16" s="7" t="n">
        <f aca="false">SUM(C16:E16)</f>
        <v>13123</v>
      </c>
      <c r="G16" s="8" t="n">
        <f aca="false">F16/$F$26</f>
        <v>0.0132655516176836</v>
      </c>
      <c r="H16" s="8" t="n">
        <f aca="false">IF(F16=0,"",C16/F16)</f>
        <v>0.862150422921588</v>
      </c>
    </row>
    <row r="17" customFormat="false" ht="15" hidden="false" customHeight="false" outlineLevel="0" collapsed="false">
      <c r="A17" s="5" t="s">
        <v>251</v>
      </c>
      <c r="B17" s="5" t="n">
        <f aca="false">COUNTIF('Firm level'!$F$2:$F$201,$A17)</f>
        <v>7</v>
      </c>
      <c r="C17" s="7" t="n">
        <f aca="false">SUMIFS('Firm level'!$H$2:$H$201,'Firm level'!$F$2:$F$201,$A17,'Firm level'!$E$2:$E$201,"SOE")</f>
        <v>3054</v>
      </c>
      <c r="D17" s="7" t="n">
        <f aca="false">SUMIFS('Firm level'!$H$2:$H$201,'Firm level'!$F$2:$F$201,$A17,'Firm level'!$E$2:$E$201,"Private")</f>
        <v>5876</v>
      </c>
      <c r="E17" s="7" t="n">
        <f aca="false">SUMIFS('Firm level'!$H$2:$H$201,'Firm level'!$F$2:$F$201,$A17,'Firm level'!$E$2:$E$201,"FDI")</f>
        <v>3000</v>
      </c>
      <c r="F17" s="7" t="n">
        <f aca="false">SUM(C17:E17)</f>
        <v>11930</v>
      </c>
      <c r="G17" s="8" t="n">
        <f aca="false">F17/$F$26</f>
        <v>0.0120595923797124</v>
      </c>
      <c r="H17" s="8" t="n">
        <f aca="false">IF(F17=0,"",C17/F17)</f>
        <v>0.255993294216262</v>
      </c>
    </row>
    <row r="18" customFormat="false" ht="15" hidden="false" customHeight="false" outlineLevel="0" collapsed="false">
      <c r="A18" s="5" t="s">
        <v>275</v>
      </c>
      <c r="B18" s="5" t="n">
        <f aca="false">COUNTIF('Firm level'!$F$2:$F$201,$A18)</f>
        <v>7</v>
      </c>
      <c r="C18" s="7" t="n">
        <f aca="false">SUMIFS('Firm level'!$H$2:$H$201,'Firm level'!$F$2:$F$201,$A18,'Firm level'!$E$2:$E$201,"SOE")</f>
        <v>0</v>
      </c>
      <c r="D18" s="7" t="n">
        <f aca="false">SUMIFS('Firm level'!$H$2:$H$201,'Firm level'!$F$2:$F$201,$A18,'Firm level'!$E$2:$E$201,"Private")</f>
        <v>7257</v>
      </c>
      <c r="E18" s="7" t="n">
        <f aca="false">SUMIFS('Firm level'!$H$2:$H$201,'Firm level'!$F$2:$F$201,$A18,'Firm level'!$E$2:$E$201,"FDI")</f>
        <v>1053</v>
      </c>
      <c r="F18" s="7" t="n">
        <f aca="false">SUM(C18:E18)</f>
        <v>8310</v>
      </c>
      <c r="G18" s="8" t="n">
        <f aca="false">F18/$F$26</f>
        <v>0.00840026929383151</v>
      </c>
      <c r="H18" s="8" t="n">
        <f aca="false">IF(F18=0,"",C18/F18)</f>
        <v>0</v>
      </c>
    </row>
    <row r="19" customFormat="false" ht="15" hidden="false" customHeight="false" outlineLevel="0" collapsed="false">
      <c r="A19" s="5" t="s">
        <v>218</v>
      </c>
      <c r="B19" s="5" t="n">
        <f aca="false">COUNTIF('Firm level'!$F$2:$F$201,$A19)</f>
        <v>5</v>
      </c>
      <c r="C19" s="7" t="n">
        <f aca="false">SUMIFS('Firm level'!$H$2:$H$201,'Firm level'!$F$2:$F$201,$A19,'Firm level'!$E$2:$E$201,"SOE")</f>
        <v>5681</v>
      </c>
      <c r="D19" s="7" t="n">
        <f aca="false">SUMIFS('Firm level'!$H$2:$H$201,'Firm level'!$F$2:$F$201,$A19,'Firm level'!$E$2:$E$201,"Private")</f>
        <v>1610</v>
      </c>
      <c r="E19" s="7" t="n">
        <f aca="false">SUMIFS('Firm level'!$H$2:$H$201,'Firm level'!$F$2:$F$201,$A19,'Firm level'!$E$2:$E$201,"FDI")</f>
        <v>1000</v>
      </c>
      <c r="F19" s="7" t="n">
        <f aca="false">SUM(C19:E19)</f>
        <v>8291</v>
      </c>
      <c r="G19" s="8" t="n">
        <f aca="false">F19/$F$26</f>
        <v>0.00838106290194429</v>
      </c>
      <c r="H19" s="8" t="n">
        <f aca="false">IF(F19=0,"",C19/F19)</f>
        <v>0.685200820166446</v>
      </c>
    </row>
    <row r="20" customFormat="false" ht="15" hidden="false" customHeight="false" outlineLevel="0" collapsed="false">
      <c r="A20" s="5" t="s">
        <v>257</v>
      </c>
      <c r="B20" s="5" t="n">
        <f aca="false">COUNTIF('Firm level'!$F$2:$F$201,$A20)</f>
        <v>6</v>
      </c>
      <c r="C20" s="7" t="n">
        <f aca="false">SUMIFS('Firm level'!$H$2:$H$201,'Firm level'!$F$2:$F$201,$A20,'Firm level'!$E$2:$E$201,"SOE")</f>
        <v>6209</v>
      </c>
      <c r="D20" s="7" t="n">
        <f aca="false">SUMIFS('Firm level'!$H$2:$H$201,'Firm level'!$F$2:$F$201,$A20,'Firm level'!$E$2:$E$201,"Private")</f>
        <v>564</v>
      </c>
      <c r="E20" s="7" t="n">
        <f aca="false">SUMIFS('Firm level'!$H$2:$H$201,'Firm level'!$F$2:$F$201,$A20,'Firm level'!$E$2:$E$201,"FDI")</f>
        <v>0</v>
      </c>
      <c r="F20" s="7" t="n">
        <f aca="false">SUM(C20:E20)</f>
        <v>6773</v>
      </c>
      <c r="G20" s="8" t="n">
        <f aca="false">F20/$F$26</f>
        <v>0.0068465732764285</v>
      </c>
      <c r="H20" s="8" t="n">
        <f aca="false">IF(F20=0,"",C20/F20)</f>
        <v>0.916728185442197</v>
      </c>
    </row>
    <row r="21" customFormat="false" ht="15" hidden="false" customHeight="false" outlineLevel="0" collapsed="false">
      <c r="A21" s="5" t="s">
        <v>393</v>
      </c>
      <c r="B21" s="5" t="n">
        <f aca="false">COUNTIF('Firm level'!$F$2:$F$201,$A21)</f>
        <v>5</v>
      </c>
      <c r="C21" s="7" t="n">
        <f aca="false">SUMIFS('Firm level'!$H$2:$H$201,'Firm level'!$F$2:$F$201,$A21,'Firm level'!$E$2:$E$201,"SOE")</f>
        <v>1817</v>
      </c>
      <c r="D21" s="7" t="n">
        <f aca="false">SUMIFS('Firm level'!$H$2:$H$201,'Firm level'!$F$2:$F$201,$A21,'Firm level'!$E$2:$E$201,"Private")</f>
        <v>0</v>
      </c>
      <c r="E21" s="7" t="n">
        <f aca="false">SUMIFS('Firm level'!$H$2:$H$201,'Firm level'!$F$2:$F$201,$A21,'Firm level'!$E$2:$E$201,"FDI")</f>
        <v>4955</v>
      </c>
      <c r="F21" s="7" t="n">
        <f aca="false">SUM(C21:E21)</f>
        <v>6772</v>
      </c>
      <c r="G21" s="8" t="n">
        <f aca="false">F21/$F$26</f>
        <v>0.0068455624136976</v>
      </c>
      <c r="H21" s="8" t="n">
        <f aca="false">IF(F21=0,"",C21/F21)</f>
        <v>0.268310691080921</v>
      </c>
    </row>
    <row r="22" customFormat="false" ht="15" hidden="false" customHeight="false" outlineLevel="0" collapsed="false">
      <c r="A22" s="5" t="s">
        <v>347</v>
      </c>
      <c r="B22" s="5" t="n">
        <f aca="false">COUNTIF('Firm level'!$F$2:$F$201,$A22)</f>
        <v>3</v>
      </c>
      <c r="C22" s="7" t="n">
        <f aca="false">SUMIFS('Firm level'!$H$2:$H$201,'Firm level'!$F$2:$F$201,$A22,'Firm level'!$E$2:$E$201,"SOE")</f>
        <v>1439</v>
      </c>
      <c r="D22" s="7" t="n">
        <f aca="false">SUMIFS('Firm level'!$H$2:$H$201,'Firm level'!$F$2:$F$201,$A22,'Firm level'!$E$2:$E$201,"Private")</f>
        <v>2333</v>
      </c>
      <c r="E22" s="7" t="n">
        <f aca="false">SUMIFS('Firm level'!$H$2:$H$201,'Firm level'!$F$2:$F$201,$A22,'Firm level'!$E$2:$E$201,"FDI")</f>
        <v>1100</v>
      </c>
      <c r="F22" s="7" t="n">
        <f aca="false">SUM(C22:E22)</f>
        <v>4872</v>
      </c>
      <c r="G22" s="8" t="n">
        <f aca="false">F22/$F$26</f>
        <v>0.00492492322497559</v>
      </c>
      <c r="H22" s="8" t="n">
        <f aca="false">IF(F22=0,"",C22/F22)</f>
        <v>0.295361247947455</v>
      </c>
    </row>
    <row r="23" customFormat="false" ht="15" hidden="false" customHeight="false" outlineLevel="0" collapsed="false">
      <c r="A23" s="5" t="s">
        <v>503</v>
      </c>
      <c r="B23" s="5" t="n">
        <f aca="false">COUNTIF('Firm level'!$F$2:$F$201,$A23)</f>
        <v>7</v>
      </c>
      <c r="C23" s="7" t="n">
        <f aca="false">SUMIFS('Firm level'!$H$2:$H$201,'Firm level'!$F$2:$F$201,$A23,'Firm level'!$E$2:$E$201,"SOE")</f>
        <v>0</v>
      </c>
      <c r="D23" s="7" t="n">
        <f aca="false">SUMIFS('Firm level'!$H$2:$H$201,'Firm level'!$F$2:$F$201,$A23,'Firm level'!$E$2:$E$201,"Private")</f>
        <v>2672</v>
      </c>
      <c r="E23" s="7" t="n">
        <f aca="false">SUMIFS('Firm level'!$H$2:$H$201,'Firm level'!$F$2:$F$201,$A23,'Firm level'!$E$2:$E$201,"FDI")</f>
        <v>1421</v>
      </c>
      <c r="F23" s="7" t="n">
        <f aca="false">SUM(C23:E23)</f>
        <v>4093</v>
      </c>
      <c r="G23" s="8" t="n">
        <f aca="false">F23/$F$26</f>
        <v>0.00413746115759957</v>
      </c>
      <c r="H23" s="8" t="n">
        <f aca="false">IF(F23=0,"",C23/F23)</f>
        <v>0</v>
      </c>
    </row>
    <row r="24" customFormat="false" ht="15" hidden="false" customHeight="false" outlineLevel="0" collapsed="false">
      <c r="A24" s="5" t="s">
        <v>239</v>
      </c>
      <c r="B24" s="5" t="n">
        <f aca="false">COUNTIF('Firm level'!$F$2:$F$201,$A24)</f>
        <v>3</v>
      </c>
      <c r="C24" s="7" t="n">
        <f aca="false">SUMIFS('Firm level'!$H$2:$H$201,'Firm level'!$F$2:$F$201,$A24,'Firm level'!$E$2:$E$201,"SOE")</f>
        <v>3604</v>
      </c>
      <c r="D24" s="7" t="n">
        <f aca="false">SUMIFS('Firm level'!$H$2:$H$201,'Firm level'!$F$2:$F$201,$A24,'Firm level'!$E$2:$E$201,"Private")</f>
        <v>397</v>
      </c>
      <c r="E24" s="7" t="n">
        <f aca="false">SUMIFS('Firm level'!$H$2:$H$201,'Firm level'!$F$2:$F$201,$A24,'Firm level'!$E$2:$E$201,"FDI")</f>
        <v>0</v>
      </c>
      <c r="F24" s="7" t="n">
        <f aca="false">SUM(C24:E24)</f>
        <v>4001</v>
      </c>
      <c r="G24" s="8" t="n">
        <f aca="false">F24/$F$26</f>
        <v>0.00404446178635618</v>
      </c>
      <c r="H24" s="8" t="n">
        <f aca="false">IF(F24=0,"",C24/F24)</f>
        <v>0.900774806298425</v>
      </c>
    </row>
    <row r="25" customFormat="false" ht="15" hidden="false" customHeight="false" outlineLevel="0" collapsed="false">
      <c r="A25" s="5" t="s">
        <v>544</v>
      </c>
      <c r="B25" s="5" t="n">
        <f aca="false">COUNTIF('Firm level'!$F$2:$F$201,$A25)</f>
        <v>1</v>
      </c>
      <c r="C25" s="7" t="n">
        <f aca="false">SUMIFS('Firm level'!$H$2:$H$201,'Firm level'!$F$2:$F$201,$A25,'Firm level'!$E$2:$E$201,"SOE")</f>
        <v>895</v>
      </c>
      <c r="D25" s="7" t="n">
        <f aca="false">SUMIFS('Firm level'!$H$2:$H$201,'Firm level'!$F$2:$F$201,$A25,'Firm level'!$E$2:$E$201,"Private")</f>
        <v>0</v>
      </c>
      <c r="E25" s="7" t="n">
        <f aca="false">SUMIFS('Firm level'!$H$2:$H$201,'Firm level'!$F$2:$F$201,$A25,'Firm level'!$E$2:$E$201,"FDI")</f>
        <v>0</v>
      </c>
      <c r="F25" s="7" t="n">
        <f aca="false">SUM(C25:E25)</f>
        <v>895</v>
      </c>
      <c r="G25" s="8" t="n">
        <f aca="false">F25/$F$26</f>
        <v>0.000904722144161156</v>
      </c>
      <c r="H25" s="8" t="n">
        <f aca="false">IF(F25=0,"",C25/F25)</f>
        <v>1</v>
      </c>
    </row>
    <row r="26" customFormat="false" ht="15" hidden="false" customHeight="false" outlineLevel="0" collapsed="false">
      <c r="A26" s="11" t="s">
        <v>752</v>
      </c>
      <c r="B26" s="11" t="n">
        <f aca="false">SUM(B4:B25)</f>
        <v>200</v>
      </c>
      <c r="C26" s="12" t="n">
        <f aca="false">SUM(C4:C25)</f>
        <v>445558</v>
      </c>
      <c r="D26" s="12" t="n">
        <f aca="false">SUM(D4:D25)</f>
        <v>390311</v>
      </c>
      <c r="E26" s="12" t="n">
        <f aca="false">SUM(E4:E25)</f>
        <v>153385</v>
      </c>
      <c r="F26" s="12" t="n">
        <f aca="false">SUM(F4:F25)</f>
        <v>989254</v>
      </c>
      <c r="G26" s="24" t="n">
        <f aca="false">F26/$F$26</f>
        <v>1</v>
      </c>
      <c r="H26" s="24" t="n">
        <f aca="false">C26/F26</f>
        <v>0.450397976657158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6" min="5" style="0" width="20"/>
  </cols>
  <sheetData>
    <row r="1" customFormat="false" ht="16.15" hidden="false" customHeight="false" outlineLevel="0" collapsed="false">
      <c r="A1" s="13" t="s">
        <v>768</v>
      </c>
    </row>
    <row r="3" customFormat="false" ht="31.5" hidden="false" customHeight="true" outlineLevel="0" collapsed="false">
      <c r="A3" s="4" t="s">
        <v>41</v>
      </c>
      <c r="B3" s="4" t="s">
        <v>769</v>
      </c>
      <c r="C3" s="4" t="s">
        <v>45</v>
      </c>
      <c r="D3" s="4" t="s">
        <v>46</v>
      </c>
      <c r="E3" s="4" t="s">
        <v>48</v>
      </c>
      <c r="F3" s="4" t="s">
        <v>770</v>
      </c>
    </row>
    <row r="4" customFormat="false" ht="15" hidden="false" customHeight="false" outlineLevel="0" collapsed="false">
      <c r="A4" s="5" t="n">
        <v>1</v>
      </c>
      <c r="B4" s="5" t="s">
        <v>57</v>
      </c>
      <c r="C4" s="15" t="s">
        <v>59</v>
      </c>
      <c r="D4" s="5" t="s">
        <v>60</v>
      </c>
      <c r="E4" s="7" t="n">
        <v>148773</v>
      </c>
      <c r="F4" s="8" t="n">
        <f aca="false">SUM($E$4:E4)/SUM('Firm level'!$H$2:$H$201)</f>
        <v>0.150389081065126</v>
      </c>
    </row>
    <row r="5" customFormat="false" ht="15" hidden="false" customHeight="false" outlineLevel="0" collapsed="false">
      <c r="A5" s="5" t="n">
        <v>2</v>
      </c>
      <c r="B5" s="5" t="s">
        <v>64</v>
      </c>
      <c r="C5" s="14" t="s">
        <v>66</v>
      </c>
      <c r="D5" s="5" t="s">
        <v>67</v>
      </c>
      <c r="E5" s="7" t="n">
        <v>90991</v>
      </c>
      <c r="F5" s="8" t="n">
        <f aca="false">SUM($E$4:E5)/SUM('Firm level'!$H$2:$H$201)</f>
        <v>0.242368491813023</v>
      </c>
    </row>
    <row r="6" customFormat="false" ht="15" hidden="false" customHeight="false" outlineLevel="0" collapsed="false">
      <c r="A6" s="5" t="n">
        <v>3</v>
      </c>
      <c r="B6" s="5" t="s">
        <v>71</v>
      </c>
      <c r="C6" s="14" t="s">
        <v>66</v>
      </c>
      <c r="D6" s="5" t="s">
        <v>73</v>
      </c>
      <c r="E6" s="7" t="n">
        <v>42290</v>
      </c>
      <c r="F6" s="8" t="n">
        <f aca="false">SUM($E$4:E6)/SUM('Firm level'!$H$2:$H$201)</f>
        <v>0.285117876703051</v>
      </c>
    </row>
    <row r="7" customFormat="false" ht="15" hidden="false" customHeight="false" outlineLevel="0" collapsed="false">
      <c r="A7" s="5" t="n">
        <v>4</v>
      </c>
      <c r="B7" s="5" t="s">
        <v>76</v>
      </c>
      <c r="C7" s="14" t="s">
        <v>66</v>
      </c>
      <c r="D7" s="5" t="s">
        <v>67</v>
      </c>
      <c r="E7" s="7" t="n">
        <v>30575</v>
      </c>
      <c r="F7" s="8" t="n">
        <f aca="false">SUM($E$4:E7)/SUM('Firm level'!$H$2:$H$201)</f>
        <v>0.316025004700512</v>
      </c>
    </row>
    <row r="8" customFormat="false" ht="15" hidden="false" customHeight="false" outlineLevel="0" collapsed="false">
      <c r="A8" s="5" t="n">
        <v>5</v>
      </c>
      <c r="B8" s="5" t="s">
        <v>80</v>
      </c>
      <c r="C8" s="16" t="s">
        <v>82</v>
      </c>
      <c r="D8" s="5" t="s">
        <v>83</v>
      </c>
      <c r="E8" s="7" t="n">
        <v>27000</v>
      </c>
      <c r="F8" s="8" t="n">
        <f aca="false">SUM($E$4:E8)/SUM('Firm level'!$H$2:$H$201)</f>
        <v>0.343318298434982</v>
      </c>
    </row>
    <row r="9" customFormat="false" ht="15" hidden="false" customHeight="false" outlineLevel="0" collapsed="false">
      <c r="A9" s="5" t="n">
        <v>6</v>
      </c>
      <c r="B9" s="5" t="s">
        <v>87</v>
      </c>
      <c r="C9" s="16" t="s">
        <v>82</v>
      </c>
      <c r="D9" s="5" t="s">
        <v>89</v>
      </c>
      <c r="E9" s="7" t="n">
        <v>26000</v>
      </c>
      <c r="F9" s="8" t="n">
        <f aca="false">SUM($E$4:E9)/SUM('Firm level'!$H$2:$H$201)</f>
        <v>0.369600729438547</v>
      </c>
    </row>
    <row r="10" customFormat="false" ht="15" hidden="false" customHeight="false" outlineLevel="0" collapsed="false">
      <c r="A10" s="5" t="n">
        <v>7</v>
      </c>
      <c r="B10" s="5" t="s">
        <v>93</v>
      </c>
      <c r="C10" s="15" t="s">
        <v>59</v>
      </c>
      <c r="D10" s="5" t="s">
        <v>60</v>
      </c>
      <c r="E10" s="7" t="n">
        <v>24045</v>
      </c>
      <c r="F10" s="8" t="n">
        <f aca="false">SUM($E$4:E10)/SUM('Firm level'!$H$2:$H$201)</f>
        <v>0.393906923803189</v>
      </c>
    </row>
    <row r="11" customFormat="false" ht="15" hidden="false" customHeight="false" outlineLevel="0" collapsed="false">
      <c r="A11" s="5" t="n">
        <v>8</v>
      </c>
      <c r="B11" s="5" t="s">
        <v>97</v>
      </c>
      <c r="C11" s="14" t="s">
        <v>66</v>
      </c>
      <c r="D11" s="5" t="s">
        <v>99</v>
      </c>
      <c r="E11" s="7" t="n">
        <v>24031</v>
      </c>
      <c r="F11" s="8" t="n">
        <f aca="false">SUM($E$4:E11)/SUM('Firm level'!$H$2:$H$201)</f>
        <v>0.418198966089599</v>
      </c>
    </row>
    <row r="12" customFormat="false" ht="15" hidden="false" customHeight="false" outlineLevel="0" collapsed="false">
      <c r="A12" s="5" t="n">
        <v>9</v>
      </c>
      <c r="B12" s="5" t="s">
        <v>102</v>
      </c>
      <c r="C12" s="16" t="s">
        <v>82</v>
      </c>
      <c r="D12" s="5" t="s">
        <v>67</v>
      </c>
      <c r="E12" s="7" t="n">
        <v>23000</v>
      </c>
      <c r="F12" s="8" t="n">
        <f aca="false">SUM($E$4:E12)/SUM('Firm level'!$H$2:$H$201)</f>
        <v>0.441448808900444</v>
      </c>
    </row>
    <row r="13" customFormat="false" ht="15" hidden="false" customHeight="false" outlineLevel="0" collapsed="false">
      <c r="A13" s="5" t="n">
        <v>10</v>
      </c>
      <c r="B13" s="5" t="s">
        <v>105</v>
      </c>
      <c r="C13" s="14" t="s">
        <v>66</v>
      </c>
      <c r="D13" s="5" t="s">
        <v>107</v>
      </c>
      <c r="E13" s="7" t="n">
        <v>22335</v>
      </c>
      <c r="F13" s="8" t="n">
        <f aca="false">SUM($E$4:E13)/SUM('Firm level'!$H$2:$H$201)</f>
        <v>0.464026427995237</v>
      </c>
    </row>
    <row r="14" customFormat="false" ht="15" hidden="false" customHeight="false" outlineLevel="0" collapsed="false">
      <c r="A14" s="5" t="n">
        <v>11</v>
      </c>
      <c r="B14" s="5" t="s">
        <v>110</v>
      </c>
      <c r="C14" s="14" t="s">
        <v>66</v>
      </c>
      <c r="D14" s="5" t="s">
        <v>67</v>
      </c>
      <c r="E14" s="7" t="n">
        <v>21450</v>
      </c>
      <c r="F14" s="8" t="n">
        <f aca="false">SUM($E$4:E14)/SUM('Firm level'!$H$2:$H$201)</f>
        <v>0.485709433573177</v>
      </c>
    </row>
    <row r="15" customFormat="false" ht="15" hidden="false" customHeight="false" outlineLevel="0" collapsed="false">
      <c r="A15" s="5" t="n">
        <v>12</v>
      </c>
      <c r="B15" s="5" t="s">
        <v>114</v>
      </c>
      <c r="C15" s="15" t="s">
        <v>59</v>
      </c>
      <c r="D15" s="5" t="s">
        <v>89</v>
      </c>
      <c r="E15" s="7" t="n">
        <v>21158</v>
      </c>
      <c r="F15" s="8" t="n">
        <f aca="false">SUM($E$4:E15)/SUM('Firm level'!$H$2:$H$201)</f>
        <v>0.507097267233693</v>
      </c>
    </row>
    <row r="16" customFormat="false" ht="15" hidden="false" customHeight="false" outlineLevel="0" collapsed="false">
      <c r="A16" s="5" t="n">
        <v>13</v>
      </c>
      <c r="B16" s="5" t="s">
        <v>117</v>
      </c>
      <c r="C16" s="14" t="s">
        <v>66</v>
      </c>
      <c r="D16" s="5" t="s">
        <v>118</v>
      </c>
      <c r="E16" s="7" t="n">
        <v>20891</v>
      </c>
      <c r="F16" s="8" t="n">
        <f aca="false">SUM($E$4:E16)/SUM('Firm level'!$H$2:$H$201)</f>
        <v>0.528215200545057</v>
      </c>
    </row>
    <row r="17" customFormat="false" ht="15" hidden="false" customHeight="false" outlineLevel="0" collapsed="false">
      <c r="A17" s="5" t="n">
        <v>14</v>
      </c>
      <c r="B17" s="5" t="s">
        <v>121</v>
      </c>
      <c r="C17" s="16" t="s">
        <v>82</v>
      </c>
      <c r="D17" s="5" t="s">
        <v>83</v>
      </c>
      <c r="E17" s="7" t="n">
        <v>14917</v>
      </c>
      <c r="F17" s="8" t="n">
        <f aca="false">SUM($E$4:E17)/SUM('Firm level'!$H$2:$H$201)</f>
        <v>0.543294239901987</v>
      </c>
    </row>
    <row r="18" customFormat="false" ht="15" hidden="false" customHeight="false" outlineLevel="0" collapsed="false">
      <c r="A18" s="5" t="n">
        <v>15</v>
      </c>
      <c r="B18" s="5" t="s">
        <v>125</v>
      </c>
      <c r="C18" s="16" t="s">
        <v>82</v>
      </c>
      <c r="D18" s="5" t="s">
        <v>60</v>
      </c>
      <c r="E18" s="7" t="n">
        <v>13600</v>
      </c>
      <c r="F18" s="8" t="n">
        <f aca="false">SUM($E$4:E18)/SUM('Firm level'!$H$2:$H$201)</f>
        <v>0.557041973042313</v>
      </c>
    </row>
    <row r="19" customFormat="false" ht="15" hidden="false" customHeight="false" outlineLevel="0" collapsed="false">
      <c r="A19" s="5" t="n">
        <v>16</v>
      </c>
      <c r="B19" s="5" t="s">
        <v>129</v>
      </c>
      <c r="C19" s="15" t="s">
        <v>59</v>
      </c>
      <c r="D19" s="5" t="s">
        <v>60</v>
      </c>
      <c r="E19" s="7" t="n">
        <v>13171</v>
      </c>
      <c r="F19" s="8" t="n">
        <f aca="false">SUM($E$4:E19)/SUM('Firm level'!$H$2:$H$201)</f>
        <v>0.57035604607108</v>
      </c>
    </row>
    <row r="20" customFormat="false" ht="15" hidden="false" customHeight="false" outlineLevel="0" collapsed="false">
      <c r="A20" s="5" t="n">
        <v>17</v>
      </c>
      <c r="B20" s="5" t="s">
        <v>132</v>
      </c>
      <c r="C20" s="15" t="s">
        <v>59</v>
      </c>
      <c r="D20" s="5" t="s">
        <v>134</v>
      </c>
      <c r="E20" s="7" t="n">
        <v>12954</v>
      </c>
      <c r="F20" s="8" t="n">
        <f aca="false">SUM($E$4:E20)/SUM('Firm level'!$H$2:$H$201)</f>
        <v>0.58345076188724</v>
      </c>
    </row>
    <row r="21" customFormat="false" ht="15" hidden="false" customHeight="false" outlineLevel="0" collapsed="false">
      <c r="A21" s="5" t="n">
        <v>18</v>
      </c>
      <c r="B21" s="5" t="s">
        <v>137</v>
      </c>
      <c r="C21" s="14" t="s">
        <v>66</v>
      </c>
      <c r="D21" s="5" t="s">
        <v>139</v>
      </c>
      <c r="E21" s="7" t="n">
        <v>12494</v>
      </c>
      <c r="F21" s="8" t="n">
        <f aca="false">SUM($E$4:E21)/SUM('Firm level'!$H$2:$H$201)</f>
        <v>0.596080480847184</v>
      </c>
    </row>
    <row r="22" customFormat="false" ht="15" hidden="false" customHeight="false" outlineLevel="0" collapsed="false">
      <c r="A22" s="5" t="n">
        <v>19</v>
      </c>
      <c r="B22" s="5" t="s">
        <v>142</v>
      </c>
      <c r="C22" s="15" t="s">
        <v>59</v>
      </c>
      <c r="D22" s="5" t="s">
        <v>89</v>
      </c>
      <c r="E22" s="7" t="n">
        <v>12441</v>
      </c>
      <c r="F22" s="8" t="n">
        <f aca="false">SUM($E$4:E22)/SUM('Firm level'!$H$2:$H$201)</f>
        <v>0.608656624082389</v>
      </c>
    </row>
    <row r="23" customFormat="false" ht="15" hidden="false" customHeight="false" outlineLevel="0" collapsed="false">
      <c r="A23" s="5" t="n">
        <v>20</v>
      </c>
      <c r="B23" s="5" t="s">
        <v>146</v>
      </c>
      <c r="C23" s="16" t="s">
        <v>82</v>
      </c>
      <c r="D23" s="5" t="s">
        <v>89</v>
      </c>
      <c r="E23" s="7" t="n">
        <v>11880</v>
      </c>
      <c r="F23" s="8" t="n">
        <f aca="false">SUM($E$4:E23)/SUM('Firm level'!$H$2:$H$201)</f>
        <v>0.620665673325556</v>
      </c>
    </row>
    <row r="24" customFormat="false" ht="15" hidden="false" customHeight="false" outlineLevel="0" collapsed="false">
      <c r="A24" s="5" t="n">
        <v>21</v>
      </c>
      <c r="B24" s="5" t="s">
        <v>150</v>
      </c>
      <c r="C24" s="14" t="s">
        <v>66</v>
      </c>
      <c r="D24" s="5" t="s">
        <v>139</v>
      </c>
      <c r="E24" s="7" t="n">
        <v>11374</v>
      </c>
      <c r="F24" s="8" t="n">
        <f aca="false">SUM($E$4:E24)/SUM('Firm level'!$H$2:$H$201)</f>
        <v>0.632163226026885</v>
      </c>
    </row>
    <row r="25" customFormat="false" ht="15" hidden="false" customHeight="false" outlineLevel="0" collapsed="false">
      <c r="A25" s="5" t="n">
        <v>22</v>
      </c>
      <c r="B25" s="5" t="s">
        <v>153</v>
      </c>
      <c r="C25" s="16" t="s">
        <v>82</v>
      </c>
      <c r="D25" s="5" t="s">
        <v>89</v>
      </c>
      <c r="E25" s="7" t="n">
        <v>11300</v>
      </c>
      <c r="F25" s="8" t="n">
        <f aca="false">SUM($E$4:E25)/SUM('Firm level'!$H$2:$H$201)</f>
        <v>0.643585974886126</v>
      </c>
    </row>
    <row r="26" customFormat="false" ht="15" hidden="false" customHeight="false" outlineLevel="0" collapsed="false">
      <c r="A26" s="5" t="n">
        <v>23</v>
      </c>
      <c r="B26" s="5" t="s">
        <v>157</v>
      </c>
      <c r="C26" s="15" t="s">
        <v>59</v>
      </c>
      <c r="D26" s="5" t="s">
        <v>73</v>
      </c>
      <c r="E26" s="7" t="n">
        <v>11291</v>
      </c>
      <c r="F26" s="8" t="n">
        <f aca="false">SUM($E$4:E26)/SUM('Firm level'!$H$2:$H$201)</f>
        <v>0.65499962598079</v>
      </c>
    </row>
    <row r="27" customFormat="false" ht="15" hidden="false" customHeight="false" outlineLevel="0" collapsed="false">
      <c r="A27" s="5" t="n">
        <v>24</v>
      </c>
      <c r="B27" s="5" t="s">
        <v>159</v>
      </c>
      <c r="C27" s="15" t="s">
        <v>59</v>
      </c>
      <c r="D27" s="5" t="s">
        <v>139</v>
      </c>
      <c r="E27" s="7" t="n">
        <v>10984</v>
      </c>
      <c r="F27" s="8" t="n">
        <f aca="false">SUM($E$4:E27)/SUM('Firm level'!$H$2:$H$201)</f>
        <v>0.666102942217065</v>
      </c>
    </row>
    <row r="28" customFormat="false" ht="15" hidden="false" customHeight="false" outlineLevel="0" collapsed="false">
      <c r="A28" s="5" t="n">
        <v>25</v>
      </c>
      <c r="B28" s="5" t="s">
        <v>162</v>
      </c>
      <c r="C28" s="14" t="s">
        <v>66</v>
      </c>
      <c r="D28" s="5" t="s">
        <v>139</v>
      </c>
      <c r="E28" s="7" t="n">
        <v>10057</v>
      </c>
      <c r="F28" s="8" t="n">
        <f aca="false">SUM($E$4:E28)/SUM('Firm level'!$H$2:$H$201)</f>
        <v>0.676269188701789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7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3" t="s">
        <v>771</v>
      </c>
    </row>
    <row r="2" customFormat="false" ht="15" hidden="false" customHeight="false" outlineLevel="0" collapsed="false">
      <c r="A2" s="21" t="s">
        <v>772</v>
      </c>
    </row>
    <row r="4" customFormat="false" ht="31.5" hidden="false" customHeight="true" outlineLevel="0" collapsed="false">
      <c r="A4" s="4" t="s">
        <v>45</v>
      </c>
      <c r="B4" s="4" t="s">
        <v>51</v>
      </c>
      <c r="C4" s="4" t="s">
        <v>773</v>
      </c>
      <c r="D4" s="4" t="s">
        <v>53</v>
      </c>
      <c r="E4" s="4" t="s">
        <v>54</v>
      </c>
      <c r="F4" s="4" t="s">
        <v>55</v>
      </c>
      <c r="G4" s="4" t="s">
        <v>774</v>
      </c>
    </row>
    <row r="5" customFormat="false" ht="15" hidden="false" customHeight="false" outlineLevel="0" collapsed="false">
      <c r="A5" s="14" t="s">
        <v>757</v>
      </c>
      <c r="B5" s="7" t="n">
        <v>60412</v>
      </c>
      <c r="C5" s="7" t="n">
        <v>17575</v>
      </c>
      <c r="D5" s="7" t="n">
        <v>68850</v>
      </c>
      <c r="E5" s="7" t="n">
        <v>7586</v>
      </c>
      <c r="F5" s="7" t="n">
        <v>4357</v>
      </c>
      <c r="G5" s="7" t="n">
        <f aca="false">SUM(B5:F5)</f>
        <v>158780</v>
      </c>
    </row>
    <row r="6" customFormat="false" ht="15" hidden="false" customHeight="false" outlineLevel="0" collapsed="false">
      <c r="A6" s="15" t="s">
        <v>758</v>
      </c>
      <c r="B6" s="7" t="n">
        <v>81885</v>
      </c>
      <c r="C6" s="7" t="n">
        <v>12381</v>
      </c>
      <c r="D6" s="7" t="n">
        <v>73890</v>
      </c>
      <c r="E6" s="7" t="n">
        <v>17512</v>
      </c>
      <c r="F6" s="7" t="n">
        <v>107480</v>
      </c>
      <c r="G6" s="7" t="n">
        <f aca="false">SUM(B6:F6)</f>
        <v>293148</v>
      </c>
    </row>
    <row r="7" customFormat="false" ht="15" hidden="false" customHeight="false" outlineLevel="0" collapsed="false">
      <c r="A7" s="16" t="s">
        <v>759</v>
      </c>
      <c r="B7" s="7" t="n">
        <v>3337</v>
      </c>
      <c r="C7" s="7" t="n">
        <v>0</v>
      </c>
      <c r="D7" s="7" t="n">
        <v>5045</v>
      </c>
      <c r="E7" s="7" t="n">
        <v>641</v>
      </c>
      <c r="F7" s="7" t="n">
        <v>0</v>
      </c>
      <c r="G7" s="7" t="n">
        <f aca="false">SUM(B7:F7)</f>
        <v>9023</v>
      </c>
    </row>
    <row r="8" customFormat="false" ht="15" hidden="false" customHeight="false" outlineLevel="0" collapsed="false">
      <c r="A8" s="11" t="s">
        <v>752</v>
      </c>
      <c r="B8" s="17" t="n">
        <f aca="false">SUM(B5:B7)</f>
        <v>145634</v>
      </c>
      <c r="C8" s="17" t="n">
        <f aca="false">SUM(C5:C7)</f>
        <v>29956</v>
      </c>
      <c r="D8" s="17" t="n">
        <f aca="false">SUM(D5:D7)</f>
        <v>147785</v>
      </c>
      <c r="E8" s="17" t="n">
        <f aca="false">SUM(E5:E7)</f>
        <v>25739</v>
      </c>
      <c r="F8" s="17" t="n">
        <f aca="false">SUM(F5:F7)</f>
        <v>111837</v>
      </c>
      <c r="G8" s="17" t="n">
        <f aca="false">SUM(G5:G7)</f>
        <v>460951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26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6" min="14" style="0" width="14"/>
  </cols>
  <sheetData>
    <row r="1" customFormat="false" ht="16.15" hidden="false" customHeight="false" outlineLevel="0" collapsed="false">
      <c r="A1" s="13" t="s">
        <v>775</v>
      </c>
    </row>
    <row r="2" customFormat="false" ht="15" hidden="false" customHeight="false" outlineLevel="0" collapsed="false">
      <c r="A2" s="21" t="s">
        <v>776</v>
      </c>
    </row>
    <row r="4" customFormat="false" ht="31.5" hidden="false" customHeight="true" outlineLevel="0" collapsed="false">
      <c r="A4" s="4" t="s">
        <v>41</v>
      </c>
      <c r="B4" s="4" t="s">
        <v>769</v>
      </c>
      <c r="C4" s="4" t="s">
        <v>43</v>
      </c>
      <c r="D4" s="4" t="s">
        <v>44</v>
      </c>
      <c r="E4" s="4" t="s">
        <v>46</v>
      </c>
      <c r="F4" s="4" t="s">
        <v>47</v>
      </c>
      <c r="G4" s="4" t="s">
        <v>777</v>
      </c>
      <c r="H4" s="4" t="s">
        <v>778</v>
      </c>
      <c r="I4" s="4" t="s">
        <v>779</v>
      </c>
      <c r="J4" s="4" t="s">
        <v>780</v>
      </c>
      <c r="K4" s="4" t="s">
        <v>51</v>
      </c>
      <c r="L4" s="4" t="s">
        <v>52</v>
      </c>
      <c r="M4" s="4" t="s">
        <v>53</v>
      </c>
      <c r="N4" s="4" t="s">
        <v>54</v>
      </c>
      <c r="O4" s="4" t="s">
        <v>55</v>
      </c>
      <c r="P4" s="4" t="s">
        <v>781</v>
      </c>
    </row>
    <row r="5" customFormat="false" ht="15" hidden="false" customHeight="false" outlineLevel="0" collapsed="false">
      <c r="A5" s="5" t="n">
        <v>1</v>
      </c>
      <c r="B5" s="5" t="s">
        <v>63</v>
      </c>
      <c r="C5" s="5" t="s">
        <v>64</v>
      </c>
      <c r="D5" s="5" t="s">
        <v>65</v>
      </c>
      <c r="E5" s="5" t="s">
        <v>782</v>
      </c>
      <c r="F5" s="5" t="s">
        <v>68</v>
      </c>
      <c r="G5" s="5" t="s">
        <v>64</v>
      </c>
      <c r="H5" s="14" t="s">
        <v>783</v>
      </c>
      <c r="I5" s="25" t="b">
        <f aca="false">TRUE()</f>
        <v>1</v>
      </c>
      <c r="J5" s="7" t="n">
        <v>90991</v>
      </c>
      <c r="K5" s="7" t="n">
        <v>12585</v>
      </c>
      <c r="L5" s="7" t="n">
        <v>8648</v>
      </c>
      <c r="M5" s="7" t="n">
        <v>14599</v>
      </c>
      <c r="N5" s="7" t="n">
        <v>1865</v>
      </c>
      <c r="O5" s="7"/>
      <c r="P5" s="7" t="n">
        <f aca="false">SUM(K5:O5)</f>
        <v>37697</v>
      </c>
    </row>
    <row r="6" customFormat="false" ht="15" hidden="false" customHeight="false" outlineLevel="0" collapsed="false">
      <c r="A6" s="5" t="n">
        <v>2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74</v>
      </c>
      <c r="G6" s="5" t="s">
        <v>71</v>
      </c>
      <c r="H6" s="14" t="s">
        <v>783</v>
      </c>
      <c r="I6" s="25" t="b">
        <f aca="false">TRUE()</f>
        <v>1</v>
      </c>
      <c r="J6" s="7" t="n">
        <v>42290</v>
      </c>
      <c r="K6" s="7"/>
      <c r="L6" s="7"/>
      <c r="M6" s="7"/>
      <c r="N6" s="7"/>
      <c r="O6" s="7"/>
      <c r="P6" s="7" t="n">
        <f aca="false">SUM(K6:O6)</f>
        <v>0</v>
      </c>
    </row>
    <row r="7" customFormat="false" ht="15" hidden="false" customHeight="false" outlineLevel="0" collapsed="false">
      <c r="A7" s="5" t="n">
        <v>3</v>
      </c>
      <c r="B7" s="5" t="s">
        <v>75</v>
      </c>
      <c r="C7" s="5" t="s">
        <v>76</v>
      </c>
      <c r="D7" s="5" t="s">
        <v>77</v>
      </c>
      <c r="E7" s="5" t="s">
        <v>784</v>
      </c>
      <c r="F7" s="5" t="s">
        <v>78</v>
      </c>
      <c r="G7" s="5" t="s">
        <v>76</v>
      </c>
      <c r="H7" s="14" t="s">
        <v>783</v>
      </c>
      <c r="I7" s="25" t="b">
        <f aca="false">TRUE()</f>
        <v>1</v>
      </c>
      <c r="J7" s="7" t="n">
        <v>30575</v>
      </c>
      <c r="K7" s="7" t="n">
        <v>3055</v>
      </c>
      <c r="L7" s="7" t="n">
        <v>6397</v>
      </c>
      <c r="M7" s="7" t="n">
        <v>727</v>
      </c>
      <c r="N7" s="7" t="n">
        <v>320</v>
      </c>
      <c r="O7" s="7"/>
      <c r="P7" s="7" t="n">
        <f aca="false">SUM(K7:O7)</f>
        <v>10499</v>
      </c>
    </row>
    <row r="8" customFormat="false" ht="15" hidden="false" customHeight="false" outlineLevel="0" collapsed="false">
      <c r="A8" s="5" t="n">
        <v>4</v>
      </c>
      <c r="B8" s="5" t="s">
        <v>96</v>
      </c>
      <c r="C8" s="5" t="s">
        <v>97</v>
      </c>
      <c r="D8" s="5" t="s">
        <v>98</v>
      </c>
      <c r="E8" s="5" t="s">
        <v>785</v>
      </c>
      <c r="F8" s="5" t="s">
        <v>100</v>
      </c>
      <c r="G8" s="5" t="s">
        <v>97</v>
      </c>
      <c r="H8" s="14" t="s">
        <v>783</v>
      </c>
      <c r="I8" s="25" t="b">
        <f aca="false">TRUE()</f>
        <v>1</v>
      </c>
      <c r="J8" s="7" t="n">
        <v>24031</v>
      </c>
      <c r="K8" s="7" t="n">
        <v>3746</v>
      </c>
      <c r="L8" s="7" t="n">
        <v>2281</v>
      </c>
      <c r="M8" s="7" t="n">
        <v>1732</v>
      </c>
      <c r="N8" s="7"/>
      <c r="O8" s="7" t="n">
        <v>423</v>
      </c>
      <c r="P8" s="7" t="n">
        <f aca="false">SUM(K8:O8)</f>
        <v>8182</v>
      </c>
    </row>
    <row r="9" customFormat="false" ht="15" hidden="false" customHeight="false" outlineLevel="0" collapsed="false">
      <c r="A9" s="5" t="n">
        <v>5</v>
      </c>
      <c r="B9" s="5" t="s">
        <v>104</v>
      </c>
      <c r="C9" s="5" t="s">
        <v>105</v>
      </c>
      <c r="D9" s="5" t="s">
        <v>106</v>
      </c>
      <c r="E9" s="5" t="s">
        <v>107</v>
      </c>
      <c r="F9" s="5" t="s">
        <v>108</v>
      </c>
      <c r="G9" s="5" t="s">
        <v>786</v>
      </c>
      <c r="H9" s="26" t="s">
        <v>787</v>
      </c>
      <c r="I9" s="25" t="b">
        <f aca="false">TRUE()</f>
        <v>1</v>
      </c>
      <c r="J9" s="7" t="n">
        <v>22335</v>
      </c>
      <c r="K9" s="7" t="n">
        <v>3546</v>
      </c>
      <c r="L9" s="7"/>
      <c r="M9" s="7" t="n">
        <v>418</v>
      </c>
      <c r="N9" s="7"/>
      <c r="O9" s="7"/>
      <c r="P9" s="7" t="n">
        <f aca="false">SUM(K9:O9)</f>
        <v>3964</v>
      </c>
    </row>
    <row r="10" customFormat="false" ht="15" hidden="false" customHeight="false" outlineLevel="0" collapsed="false">
      <c r="A10" s="5" t="n">
        <v>6</v>
      </c>
      <c r="B10" s="5" t="s">
        <v>116</v>
      </c>
      <c r="C10" s="5" t="s">
        <v>117</v>
      </c>
      <c r="D10" s="5" t="s">
        <v>117</v>
      </c>
      <c r="E10" s="5" t="s">
        <v>788</v>
      </c>
      <c r="F10" s="5" t="s">
        <v>119</v>
      </c>
      <c r="G10" s="5" t="s">
        <v>117</v>
      </c>
      <c r="H10" s="14" t="s">
        <v>783</v>
      </c>
      <c r="I10" s="25" t="b">
        <f aca="false">TRUE()</f>
        <v>1</v>
      </c>
      <c r="J10" s="7" t="n">
        <v>20891</v>
      </c>
      <c r="K10" s="7" t="n">
        <v>8367</v>
      </c>
      <c r="L10" s="7"/>
      <c r="M10" s="7" t="n">
        <v>1201</v>
      </c>
      <c r="N10" s="7" t="n">
        <v>1163</v>
      </c>
      <c r="O10" s="7"/>
      <c r="P10" s="7" t="n">
        <f aca="false">SUM(K10:O10)</f>
        <v>10731</v>
      </c>
    </row>
    <row r="11" customFormat="false" ht="15" hidden="false" customHeight="false" outlineLevel="0" collapsed="false">
      <c r="A11" s="5" t="n">
        <v>7</v>
      </c>
      <c r="B11" s="5" t="s">
        <v>789</v>
      </c>
      <c r="C11" s="5" t="s">
        <v>790</v>
      </c>
      <c r="D11" s="5" t="s">
        <v>790</v>
      </c>
      <c r="E11" s="5" t="s">
        <v>782</v>
      </c>
      <c r="F11" s="5" t="s">
        <v>68</v>
      </c>
      <c r="G11" s="5" t="s">
        <v>64</v>
      </c>
      <c r="H11" s="27" t="s">
        <v>791</v>
      </c>
      <c r="I11" s="25" t="b">
        <f aca="false">FALSE()</f>
        <v>0</v>
      </c>
      <c r="J11" s="7" t="n">
        <v>15105</v>
      </c>
      <c r="K11" s="7"/>
      <c r="L11" s="7"/>
      <c r="M11" s="7" t="n">
        <v>6685</v>
      </c>
      <c r="N11" s="7"/>
      <c r="O11" s="7"/>
      <c r="P11" s="7" t="n">
        <f aca="false">SUM(K11:O11)</f>
        <v>6685</v>
      </c>
    </row>
    <row r="12" customFormat="false" ht="15" hidden="false" customHeight="false" outlineLevel="0" collapsed="false">
      <c r="A12" s="5" t="n">
        <v>8</v>
      </c>
      <c r="B12" s="5" t="s">
        <v>792</v>
      </c>
      <c r="C12" s="5" t="s">
        <v>793</v>
      </c>
      <c r="D12" s="5" t="s">
        <v>793</v>
      </c>
      <c r="E12" s="5" t="s">
        <v>782</v>
      </c>
      <c r="F12" s="5" t="s">
        <v>68</v>
      </c>
      <c r="G12" s="5" t="s">
        <v>64</v>
      </c>
      <c r="H12" s="27" t="s">
        <v>791</v>
      </c>
      <c r="I12" s="25" t="b">
        <f aca="false">FALSE()</f>
        <v>0</v>
      </c>
      <c r="J12" s="7" t="n">
        <v>14531</v>
      </c>
      <c r="K12" s="7" t="n">
        <v>3499</v>
      </c>
      <c r="L12" s="7" t="n">
        <v>4673</v>
      </c>
      <c r="M12" s="7" t="n">
        <v>390</v>
      </c>
      <c r="N12" s="7"/>
      <c r="O12" s="7"/>
      <c r="P12" s="7" t="n">
        <f aca="false">SUM(K12:O12)</f>
        <v>8562</v>
      </c>
    </row>
    <row r="13" customFormat="false" ht="15" hidden="false" customHeight="false" outlineLevel="0" collapsed="false">
      <c r="A13" s="5" t="n">
        <v>9</v>
      </c>
      <c r="B13" s="5" t="s">
        <v>136</v>
      </c>
      <c r="C13" s="5" t="s">
        <v>137</v>
      </c>
      <c r="D13" s="5" t="s">
        <v>138</v>
      </c>
      <c r="E13" s="5" t="s">
        <v>139</v>
      </c>
      <c r="F13" s="5" t="s">
        <v>140</v>
      </c>
      <c r="G13" s="5" t="s">
        <v>786</v>
      </c>
      <c r="H13" s="26" t="s">
        <v>787</v>
      </c>
      <c r="I13" s="25" t="b">
        <f aca="false">TRUE()</f>
        <v>1</v>
      </c>
      <c r="J13" s="7" t="n">
        <v>12494</v>
      </c>
      <c r="K13" s="7" t="n">
        <v>835</v>
      </c>
      <c r="L13" s="7"/>
      <c r="M13" s="7" t="n">
        <v>9242</v>
      </c>
      <c r="N13" s="7"/>
      <c r="O13" s="7"/>
      <c r="P13" s="7" t="n">
        <f aca="false">SUM(K13:O13)</f>
        <v>10077</v>
      </c>
    </row>
    <row r="14" customFormat="false" ht="15" hidden="false" customHeight="false" outlineLevel="0" collapsed="false">
      <c r="A14" s="5" t="n">
        <v>10</v>
      </c>
      <c r="B14" s="5" t="s">
        <v>149</v>
      </c>
      <c r="C14" s="5" t="s">
        <v>150</v>
      </c>
      <c r="D14" s="5" t="s">
        <v>151</v>
      </c>
      <c r="E14" s="5" t="s">
        <v>139</v>
      </c>
      <c r="F14" s="5" t="s">
        <v>140</v>
      </c>
      <c r="G14" s="5" t="s">
        <v>150</v>
      </c>
      <c r="H14" s="14" t="s">
        <v>783</v>
      </c>
      <c r="I14" s="25" t="b">
        <f aca="false">TRUE()</f>
        <v>1</v>
      </c>
      <c r="J14" s="7" t="n">
        <v>11374</v>
      </c>
      <c r="K14" s="7" t="n">
        <v>1430</v>
      </c>
      <c r="L14" s="7"/>
      <c r="M14" s="7" t="n">
        <v>6768</v>
      </c>
      <c r="N14" s="7"/>
      <c r="O14" s="7"/>
      <c r="P14" s="7" t="n">
        <f aca="false">SUM(K14:O14)</f>
        <v>8198</v>
      </c>
    </row>
    <row r="15" customFormat="false" ht="15" hidden="false" customHeight="false" outlineLevel="0" collapsed="false">
      <c r="A15" s="5" t="n">
        <v>11</v>
      </c>
      <c r="B15" s="5" t="s">
        <v>794</v>
      </c>
      <c r="C15" s="5" t="s">
        <v>795</v>
      </c>
      <c r="D15" s="5" t="s">
        <v>796</v>
      </c>
      <c r="E15" s="5" t="s">
        <v>784</v>
      </c>
      <c r="F15" s="5" t="s">
        <v>78</v>
      </c>
      <c r="G15" s="5" t="s">
        <v>64</v>
      </c>
      <c r="H15" s="27" t="s">
        <v>791</v>
      </c>
      <c r="I15" s="25" t="b">
        <f aca="false">FALSE()</f>
        <v>0</v>
      </c>
      <c r="J15" s="7" t="n">
        <v>11115</v>
      </c>
      <c r="K15" s="7" t="n">
        <v>1006</v>
      </c>
      <c r="L15" s="7" t="n">
        <v>1328</v>
      </c>
      <c r="M15" s="7" t="n">
        <v>124</v>
      </c>
      <c r="N15" s="7"/>
      <c r="O15" s="7"/>
      <c r="P15" s="7" t="n">
        <f aca="false">SUM(K15:O15)</f>
        <v>2458</v>
      </c>
    </row>
    <row r="16" customFormat="false" ht="15" hidden="false" customHeight="false" outlineLevel="0" collapsed="false">
      <c r="A16" s="5" t="n">
        <v>12</v>
      </c>
      <c r="B16" s="5" t="s">
        <v>797</v>
      </c>
      <c r="C16" s="5" t="s">
        <v>798</v>
      </c>
      <c r="D16" s="5" t="s">
        <v>799</v>
      </c>
      <c r="E16" s="5" t="s">
        <v>73</v>
      </c>
      <c r="F16" s="5" t="s">
        <v>74</v>
      </c>
      <c r="G16" s="5" t="s">
        <v>71</v>
      </c>
      <c r="H16" s="27" t="s">
        <v>791</v>
      </c>
      <c r="I16" s="25" t="b">
        <f aca="false">FALSE()</f>
        <v>0</v>
      </c>
      <c r="J16" s="7" t="n">
        <v>10657</v>
      </c>
      <c r="K16" s="7" t="n">
        <v>3781</v>
      </c>
      <c r="L16" s="7"/>
      <c r="M16" s="7" t="n">
        <v>3191</v>
      </c>
      <c r="N16" s="7" t="n">
        <v>970</v>
      </c>
      <c r="O16" s="7"/>
      <c r="P16" s="7" t="n">
        <f aca="false">SUM(K16:O16)</f>
        <v>7942</v>
      </c>
    </row>
    <row r="17" customFormat="false" ht="15" hidden="false" customHeight="false" outlineLevel="0" collapsed="false">
      <c r="A17" s="5" t="n">
        <v>13</v>
      </c>
      <c r="B17" s="5" t="s">
        <v>161</v>
      </c>
      <c r="C17" s="5" t="s">
        <v>162</v>
      </c>
      <c r="D17" s="5" t="s">
        <v>163</v>
      </c>
      <c r="E17" s="5" t="s">
        <v>139</v>
      </c>
      <c r="F17" s="5" t="s">
        <v>140</v>
      </c>
      <c r="G17" s="5" t="s">
        <v>786</v>
      </c>
      <c r="H17" s="26" t="s">
        <v>787</v>
      </c>
      <c r="I17" s="25" t="b">
        <f aca="false">TRUE()</f>
        <v>1</v>
      </c>
      <c r="J17" s="7" t="n">
        <v>10057</v>
      </c>
      <c r="K17" s="7" t="n">
        <v>998</v>
      </c>
      <c r="L17" s="7"/>
      <c r="M17" s="7" t="n">
        <v>7541</v>
      </c>
      <c r="N17" s="7"/>
      <c r="O17" s="7"/>
      <c r="P17" s="7" t="n">
        <f aca="false">SUM(K17:O17)</f>
        <v>8539</v>
      </c>
    </row>
    <row r="18" customFormat="false" ht="15" hidden="false" customHeight="false" outlineLevel="0" collapsed="false">
      <c r="A18" s="5" t="n">
        <v>14</v>
      </c>
      <c r="B18" s="5" t="s">
        <v>164</v>
      </c>
      <c r="C18" s="5" t="s">
        <v>165</v>
      </c>
      <c r="D18" s="5" t="s">
        <v>166</v>
      </c>
      <c r="E18" s="5" t="s">
        <v>139</v>
      </c>
      <c r="F18" s="5" t="s">
        <v>140</v>
      </c>
      <c r="G18" s="5" t="s">
        <v>165</v>
      </c>
      <c r="H18" s="14" t="s">
        <v>783</v>
      </c>
      <c r="I18" s="25" t="b">
        <f aca="false">TRUE()</f>
        <v>1</v>
      </c>
      <c r="J18" s="7" t="n">
        <v>10004</v>
      </c>
      <c r="K18" s="7" t="n">
        <v>1105</v>
      </c>
      <c r="L18" s="7"/>
      <c r="M18" s="7" t="n">
        <v>6518</v>
      </c>
      <c r="N18" s="7"/>
      <c r="O18" s="7"/>
      <c r="P18" s="7" t="n">
        <f aca="false">SUM(K18:O18)</f>
        <v>7623</v>
      </c>
    </row>
    <row r="19" customFormat="false" ht="15" hidden="false" customHeight="false" outlineLevel="0" collapsed="false">
      <c r="A19" s="5" t="n">
        <v>15</v>
      </c>
      <c r="B19" s="5" t="s">
        <v>167</v>
      </c>
      <c r="C19" s="5" t="s">
        <v>168</v>
      </c>
      <c r="D19" s="5" t="s">
        <v>168</v>
      </c>
      <c r="E19" s="5" t="s">
        <v>169</v>
      </c>
      <c r="F19" s="5" t="s">
        <v>170</v>
      </c>
      <c r="G19" s="5" t="s">
        <v>786</v>
      </c>
      <c r="H19" s="26" t="s">
        <v>787</v>
      </c>
      <c r="I19" s="25" t="b">
        <f aca="false">TRUE()</f>
        <v>1</v>
      </c>
      <c r="J19" s="7" t="n">
        <v>8404</v>
      </c>
      <c r="K19" s="7"/>
      <c r="L19" s="7"/>
      <c r="M19" s="7" t="n">
        <v>384</v>
      </c>
      <c r="N19" s="7"/>
      <c r="O19" s="7"/>
      <c r="P19" s="7" t="n">
        <f aca="false">SUM(K19:O19)</f>
        <v>384</v>
      </c>
    </row>
    <row r="20" customFormat="false" ht="15" hidden="false" customHeight="false" outlineLevel="0" collapsed="false">
      <c r="A20" s="5" t="n">
        <v>16</v>
      </c>
      <c r="B20" s="5" t="s">
        <v>171</v>
      </c>
      <c r="C20" s="5" t="s">
        <v>172</v>
      </c>
      <c r="D20" s="5" t="s">
        <v>173</v>
      </c>
      <c r="E20" s="5" t="s">
        <v>139</v>
      </c>
      <c r="F20" s="5" t="s">
        <v>140</v>
      </c>
      <c r="G20" s="5" t="s">
        <v>786</v>
      </c>
      <c r="H20" s="26" t="s">
        <v>787</v>
      </c>
      <c r="I20" s="25" t="b">
        <f aca="false">TRUE()</f>
        <v>1</v>
      </c>
      <c r="J20" s="7" t="n">
        <v>7854</v>
      </c>
      <c r="K20" s="7" t="n">
        <v>763</v>
      </c>
      <c r="L20" s="7"/>
      <c r="M20" s="7" t="n">
        <v>5658</v>
      </c>
      <c r="N20" s="7"/>
      <c r="O20" s="7"/>
      <c r="P20" s="7" t="n">
        <f aca="false">SUM(K20:O20)</f>
        <v>6421</v>
      </c>
    </row>
    <row r="21" customFormat="false" ht="15" hidden="false" customHeight="false" outlineLevel="0" collapsed="false">
      <c r="A21" s="5" t="n">
        <v>17</v>
      </c>
      <c r="B21" s="5" t="s">
        <v>800</v>
      </c>
      <c r="C21" s="5" t="s">
        <v>801</v>
      </c>
      <c r="D21" s="5" t="s">
        <v>802</v>
      </c>
      <c r="E21" s="5" t="s">
        <v>782</v>
      </c>
      <c r="F21" s="5" t="s">
        <v>68</v>
      </c>
      <c r="G21" s="5" t="s">
        <v>64</v>
      </c>
      <c r="H21" s="27" t="s">
        <v>791</v>
      </c>
      <c r="I21" s="25" t="b">
        <f aca="false">FALSE()</f>
        <v>0</v>
      </c>
      <c r="J21" s="7" t="n">
        <v>7278</v>
      </c>
      <c r="K21" s="7" t="n">
        <v>1934</v>
      </c>
      <c r="L21" s="7" t="n">
        <v>2141</v>
      </c>
      <c r="M21" s="7" t="n">
        <v>2403</v>
      </c>
      <c r="N21" s="7"/>
      <c r="O21" s="7"/>
      <c r="P21" s="7" t="n">
        <f aca="false">SUM(K21:O21)</f>
        <v>6478</v>
      </c>
    </row>
    <row r="22" customFormat="false" ht="15" hidden="false" customHeight="false" outlineLevel="0" collapsed="false">
      <c r="A22" s="5" t="n">
        <v>18</v>
      </c>
      <c r="B22" s="5" t="s">
        <v>177</v>
      </c>
      <c r="C22" s="5" t="s">
        <v>178</v>
      </c>
      <c r="D22" s="5" t="s">
        <v>178</v>
      </c>
      <c r="E22" s="5" t="s">
        <v>169</v>
      </c>
      <c r="F22" s="5" t="s">
        <v>170</v>
      </c>
      <c r="G22" s="5" t="s">
        <v>178</v>
      </c>
      <c r="H22" s="14" t="s">
        <v>783</v>
      </c>
      <c r="I22" s="25" t="b">
        <f aca="false">TRUE()</f>
        <v>1</v>
      </c>
      <c r="J22" s="7" t="n">
        <v>6794</v>
      </c>
      <c r="K22" s="7" t="n">
        <v>1441</v>
      </c>
      <c r="L22" s="7"/>
      <c r="M22" s="7" t="n">
        <v>683</v>
      </c>
      <c r="N22" s="7" t="n">
        <v>500</v>
      </c>
      <c r="O22" s="7" t="n">
        <v>339</v>
      </c>
      <c r="P22" s="7" t="n">
        <f aca="false">SUM(K22:O22)</f>
        <v>2963</v>
      </c>
    </row>
    <row r="23" customFormat="false" ht="15" hidden="false" customHeight="false" outlineLevel="0" collapsed="false">
      <c r="A23" s="5" t="n">
        <v>19</v>
      </c>
      <c r="B23" s="5" t="s">
        <v>803</v>
      </c>
      <c r="C23" s="5" t="s">
        <v>804</v>
      </c>
      <c r="D23" s="5" t="s">
        <v>805</v>
      </c>
      <c r="E23" s="5" t="s">
        <v>280</v>
      </c>
      <c r="F23" s="5" t="s">
        <v>281</v>
      </c>
      <c r="G23" s="5" t="s">
        <v>178</v>
      </c>
      <c r="H23" s="27" t="s">
        <v>791</v>
      </c>
      <c r="I23" s="25" t="b">
        <f aca="false">FALSE()</f>
        <v>0</v>
      </c>
      <c r="J23" s="7" t="n">
        <v>6176</v>
      </c>
      <c r="K23" s="7" t="n">
        <v>1378</v>
      </c>
      <c r="L23" s="7"/>
      <c r="M23" s="7" t="n">
        <v>498</v>
      </c>
      <c r="N23" s="7" t="n">
        <v>490</v>
      </c>
      <c r="O23" s="7"/>
      <c r="P23" s="7" t="n">
        <f aca="false">SUM(K23:O23)</f>
        <v>2366</v>
      </c>
    </row>
    <row r="24" customFormat="false" ht="15" hidden="false" customHeight="false" outlineLevel="0" collapsed="false">
      <c r="A24" s="5" t="n">
        <v>20</v>
      </c>
      <c r="B24" s="5" t="s">
        <v>179</v>
      </c>
      <c r="C24" s="5" t="s">
        <v>180</v>
      </c>
      <c r="D24" s="5" t="s">
        <v>180</v>
      </c>
      <c r="E24" s="5" t="s">
        <v>73</v>
      </c>
      <c r="F24" s="5" t="s">
        <v>74</v>
      </c>
      <c r="G24" s="5" t="s">
        <v>786</v>
      </c>
      <c r="H24" s="26" t="s">
        <v>787</v>
      </c>
      <c r="I24" s="25" t="b">
        <f aca="false">TRUE()</f>
        <v>1</v>
      </c>
      <c r="J24" s="7" t="n">
        <v>6078</v>
      </c>
      <c r="K24" s="7"/>
      <c r="L24" s="7"/>
      <c r="M24" s="7"/>
      <c r="N24" s="7"/>
      <c r="O24" s="7"/>
      <c r="P24" s="7" t="n">
        <f aca="false">SUM(K24:O24)</f>
        <v>0</v>
      </c>
    </row>
    <row r="25" customFormat="false" ht="15" hidden="false" customHeight="false" outlineLevel="0" collapsed="false">
      <c r="A25" s="5" t="n">
        <v>21</v>
      </c>
      <c r="B25" s="5" t="s">
        <v>806</v>
      </c>
      <c r="C25" s="5" t="s">
        <v>807</v>
      </c>
      <c r="D25" s="5" t="s">
        <v>808</v>
      </c>
      <c r="E25" s="5" t="s">
        <v>788</v>
      </c>
      <c r="F25" s="5" t="s">
        <v>119</v>
      </c>
      <c r="G25" s="5" t="s">
        <v>117</v>
      </c>
      <c r="H25" s="27" t="s">
        <v>791</v>
      </c>
      <c r="I25" s="25" t="b">
        <f aca="false">FALSE()</f>
        <v>0</v>
      </c>
      <c r="J25" s="7" t="n">
        <v>5422</v>
      </c>
      <c r="K25" s="7" t="n">
        <v>3521</v>
      </c>
      <c r="L25" s="7"/>
      <c r="M25" s="7" t="n">
        <v>237</v>
      </c>
      <c r="N25" s="7"/>
      <c r="O25" s="7"/>
      <c r="P25" s="7" t="n">
        <f aca="false">SUM(K25:O25)</f>
        <v>3758</v>
      </c>
    </row>
    <row r="26" customFormat="false" ht="15" hidden="false" customHeight="false" outlineLevel="0" collapsed="false">
      <c r="A26" s="5" t="n">
        <v>22</v>
      </c>
      <c r="B26" s="5" t="s">
        <v>186</v>
      </c>
      <c r="C26" s="5" t="s">
        <v>187</v>
      </c>
      <c r="D26" s="5" t="s">
        <v>187</v>
      </c>
      <c r="E26" s="5" t="s">
        <v>188</v>
      </c>
      <c r="F26" s="5" t="s">
        <v>189</v>
      </c>
      <c r="G26" s="5" t="s">
        <v>786</v>
      </c>
      <c r="H26" s="26" t="s">
        <v>787</v>
      </c>
      <c r="I26" s="25" t="b">
        <f aca="false">TRUE()</f>
        <v>1</v>
      </c>
      <c r="J26" s="7" t="n">
        <v>4656</v>
      </c>
      <c r="K26" s="7" t="n">
        <v>211</v>
      </c>
      <c r="L26" s="7"/>
      <c r="M26" s="7" t="n">
        <v>2582</v>
      </c>
      <c r="N26" s="7" t="n">
        <v>403</v>
      </c>
      <c r="O26" s="7" t="n">
        <v>149</v>
      </c>
      <c r="P26" s="7" t="n">
        <f aca="false">SUM(K26:O26)</f>
        <v>3345</v>
      </c>
    </row>
    <row r="27" customFormat="false" ht="15" hidden="false" customHeight="false" outlineLevel="0" collapsed="false">
      <c r="A27" s="5" t="n">
        <v>23</v>
      </c>
      <c r="B27" s="5" t="s">
        <v>197</v>
      </c>
      <c r="C27" s="5" t="s">
        <v>198</v>
      </c>
      <c r="D27" s="5" t="s">
        <v>199</v>
      </c>
      <c r="E27" s="5" t="s">
        <v>107</v>
      </c>
      <c r="F27" s="5" t="s">
        <v>108</v>
      </c>
      <c r="G27" s="5" t="s">
        <v>786</v>
      </c>
      <c r="H27" s="26" t="s">
        <v>787</v>
      </c>
      <c r="I27" s="25" t="b">
        <f aca="false">TRUE()</f>
        <v>1</v>
      </c>
      <c r="J27" s="7" t="n">
        <v>4292</v>
      </c>
      <c r="K27" s="7" t="n">
        <v>537</v>
      </c>
      <c r="L27" s="7" t="n">
        <v>78</v>
      </c>
      <c r="M27" s="7" t="n">
        <v>58</v>
      </c>
      <c r="N27" s="7"/>
      <c r="O27" s="7"/>
      <c r="P27" s="7" t="n">
        <f aca="false">SUM(K27:O27)</f>
        <v>673</v>
      </c>
    </row>
    <row r="28" customFormat="false" ht="15" hidden="false" customHeight="false" outlineLevel="0" collapsed="false">
      <c r="A28" s="5" t="n">
        <v>24</v>
      </c>
      <c r="B28" s="5" t="s">
        <v>200</v>
      </c>
      <c r="C28" s="5" t="s">
        <v>201</v>
      </c>
      <c r="D28" s="5" t="s">
        <v>202</v>
      </c>
      <c r="E28" s="5" t="s">
        <v>809</v>
      </c>
      <c r="F28" s="5" t="s">
        <v>84</v>
      </c>
      <c r="G28" s="5" t="s">
        <v>786</v>
      </c>
      <c r="H28" s="26" t="s">
        <v>787</v>
      </c>
      <c r="I28" s="25" t="b">
        <f aca="false">TRUE()</f>
        <v>1</v>
      </c>
      <c r="J28" s="7" t="n">
        <v>4158</v>
      </c>
      <c r="K28" s="7" t="n">
        <v>613</v>
      </c>
      <c r="L28" s="7"/>
      <c r="M28" s="7" t="n">
        <v>155</v>
      </c>
      <c r="N28" s="7"/>
      <c r="O28" s="7"/>
      <c r="P28" s="7" t="n">
        <f aca="false">SUM(K28:O28)</f>
        <v>768</v>
      </c>
    </row>
    <row r="29" customFormat="false" ht="15" hidden="false" customHeight="false" outlineLevel="0" collapsed="false">
      <c r="A29" s="5" t="n">
        <v>25</v>
      </c>
      <c r="B29" s="5" t="s">
        <v>810</v>
      </c>
      <c r="C29" s="5" t="s">
        <v>811</v>
      </c>
      <c r="D29" s="5" t="s">
        <v>812</v>
      </c>
      <c r="E29" s="5" t="s">
        <v>73</v>
      </c>
      <c r="F29" s="5" t="s">
        <v>74</v>
      </c>
      <c r="G29" s="5" t="s">
        <v>786</v>
      </c>
      <c r="H29" s="26" t="s">
        <v>787</v>
      </c>
      <c r="I29" s="25" t="b">
        <f aca="false">TRUE()</f>
        <v>1</v>
      </c>
      <c r="J29" s="7" t="n">
        <v>3945</v>
      </c>
      <c r="K29" s="7" t="n">
        <v>2580</v>
      </c>
      <c r="L29" s="7"/>
      <c r="M29" s="7" t="n">
        <v>955</v>
      </c>
      <c r="N29" s="7" t="n">
        <v>296</v>
      </c>
      <c r="O29" s="7"/>
      <c r="P29" s="7" t="n">
        <f aca="false">SUM(K29:O29)</f>
        <v>3831</v>
      </c>
    </row>
    <row r="30" customFormat="false" ht="15" hidden="false" customHeight="false" outlineLevel="0" collapsed="false">
      <c r="A30" s="5" t="n">
        <v>26</v>
      </c>
      <c r="B30" s="5" t="s">
        <v>210</v>
      </c>
      <c r="C30" s="5" t="s">
        <v>211</v>
      </c>
      <c r="D30" s="5" t="s">
        <v>211</v>
      </c>
      <c r="E30" s="5" t="s">
        <v>107</v>
      </c>
      <c r="F30" s="5" t="s">
        <v>108</v>
      </c>
      <c r="G30" s="5" t="s">
        <v>786</v>
      </c>
      <c r="H30" s="26" t="s">
        <v>787</v>
      </c>
      <c r="I30" s="25" t="b">
        <f aca="false">TRUE()</f>
        <v>1</v>
      </c>
      <c r="J30" s="7" t="n">
        <v>3691</v>
      </c>
      <c r="K30" s="7" t="n">
        <v>421</v>
      </c>
      <c r="L30" s="7" t="n">
        <v>77</v>
      </c>
      <c r="M30" s="7" t="n">
        <v>107</v>
      </c>
      <c r="N30" s="7" t="n">
        <v>19</v>
      </c>
      <c r="O30" s="7"/>
      <c r="P30" s="7" t="n">
        <f aca="false">SUM(K30:O30)</f>
        <v>624</v>
      </c>
    </row>
    <row r="31" customFormat="false" ht="15" hidden="false" customHeight="false" outlineLevel="0" collapsed="false">
      <c r="A31" s="5" t="n">
        <v>27</v>
      </c>
      <c r="B31" s="5" t="s">
        <v>215</v>
      </c>
      <c r="C31" s="5" t="s">
        <v>216</v>
      </c>
      <c r="D31" s="5" t="s">
        <v>217</v>
      </c>
      <c r="E31" s="5" t="s">
        <v>813</v>
      </c>
      <c r="F31" s="5" t="s">
        <v>219</v>
      </c>
      <c r="G31" s="5" t="s">
        <v>786</v>
      </c>
      <c r="H31" s="26" t="s">
        <v>787</v>
      </c>
      <c r="I31" s="25" t="b">
        <f aca="false">TRUE()</f>
        <v>1</v>
      </c>
      <c r="J31" s="7" t="n">
        <v>3413</v>
      </c>
      <c r="K31" s="7" t="n">
        <v>858</v>
      </c>
      <c r="L31" s="7"/>
      <c r="M31" s="7" t="n">
        <v>1232</v>
      </c>
      <c r="N31" s="7" t="n">
        <v>162</v>
      </c>
      <c r="O31" s="7" t="n">
        <v>751</v>
      </c>
      <c r="P31" s="7" t="n">
        <f aca="false">SUM(K31:O31)</f>
        <v>3003</v>
      </c>
    </row>
    <row r="32" customFormat="false" ht="15" hidden="false" customHeight="false" outlineLevel="0" collapsed="false">
      <c r="A32" s="5" t="n">
        <v>28</v>
      </c>
      <c r="B32" s="5" t="s">
        <v>227</v>
      </c>
      <c r="C32" s="5" t="s">
        <v>228</v>
      </c>
      <c r="D32" s="5" t="s">
        <v>229</v>
      </c>
      <c r="E32" s="5" t="s">
        <v>188</v>
      </c>
      <c r="F32" s="5" t="s">
        <v>189</v>
      </c>
      <c r="G32" s="5" t="s">
        <v>786</v>
      </c>
      <c r="H32" s="26" t="s">
        <v>787</v>
      </c>
      <c r="I32" s="25" t="b">
        <f aca="false">TRUE()</f>
        <v>1</v>
      </c>
      <c r="J32" s="7" t="n">
        <v>3291</v>
      </c>
      <c r="K32" s="7" t="n">
        <v>969</v>
      </c>
      <c r="L32" s="7"/>
      <c r="M32" s="7" t="n">
        <v>416</v>
      </c>
      <c r="N32" s="7" t="n">
        <v>874</v>
      </c>
      <c r="O32" s="7"/>
      <c r="P32" s="7" t="n">
        <f aca="false">SUM(K32:O32)</f>
        <v>2259</v>
      </c>
    </row>
    <row r="33" customFormat="false" ht="15" hidden="false" customHeight="false" outlineLevel="0" collapsed="false">
      <c r="A33" s="5" t="n">
        <v>29</v>
      </c>
      <c r="B33" s="5" t="s">
        <v>230</v>
      </c>
      <c r="C33" s="5" t="s">
        <v>231</v>
      </c>
      <c r="D33" s="5" t="s">
        <v>232</v>
      </c>
      <c r="E33" s="5" t="s">
        <v>169</v>
      </c>
      <c r="F33" s="5" t="s">
        <v>233</v>
      </c>
      <c r="G33" s="5" t="s">
        <v>231</v>
      </c>
      <c r="H33" s="14" t="s">
        <v>783</v>
      </c>
      <c r="I33" s="25" t="b">
        <f aca="false">TRUE()</f>
        <v>1</v>
      </c>
      <c r="J33" s="7" t="n">
        <v>3283</v>
      </c>
      <c r="K33" s="7" t="n">
        <v>6</v>
      </c>
      <c r="L33" s="7"/>
      <c r="M33" s="7" t="n">
        <v>659</v>
      </c>
      <c r="N33" s="7"/>
      <c r="O33" s="7"/>
      <c r="P33" s="7" t="n">
        <f aca="false">SUM(K33:O33)</f>
        <v>665</v>
      </c>
    </row>
    <row r="34" customFormat="false" ht="15" hidden="false" customHeight="false" outlineLevel="0" collapsed="false">
      <c r="A34" s="5" t="n">
        <v>30</v>
      </c>
      <c r="B34" s="5" t="s">
        <v>236</v>
      </c>
      <c r="C34" s="5" t="s">
        <v>237</v>
      </c>
      <c r="D34" s="5" t="s">
        <v>238</v>
      </c>
      <c r="E34" s="5" t="s">
        <v>814</v>
      </c>
      <c r="F34" s="5" t="s">
        <v>240</v>
      </c>
      <c r="G34" s="5" t="s">
        <v>786</v>
      </c>
      <c r="H34" s="26" t="s">
        <v>787</v>
      </c>
      <c r="I34" s="25" t="b">
        <f aca="false">TRUE()</f>
        <v>1</v>
      </c>
      <c r="J34" s="7" t="n">
        <v>3179</v>
      </c>
      <c r="K34" s="7" t="n">
        <v>232</v>
      </c>
      <c r="L34" s="7"/>
      <c r="M34" s="7" t="n">
        <v>337</v>
      </c>
      <c r="N34" s="7"/>
      <c r="O34" s="7"/>
      <c r="P34" s="7" t="n">
        <f aca="false">SUM(K34:O34)</f>
        <v>569</v>
      </c>
    </row>
    <row r="35" customFormat="false" ht="15" hidden="false" customHeight="false" outlineLevel="0" collapsed="false">
      <c r="A35" s="5" t="n">
        <v>31</v>
      </c>
      <c r="B35" s="5" t="s">
        <v>254</v>
      </c>
      <c r="C35" s="5" t="s">
        <v>255</v>
      </c>
      <c r="D35" s="5" t="s">
        <v>256</v>
      </c>
      <c r="E35" s="5" t="s">
        <v>815</v>
      </c>
      <c r="F35" s="5" t="s">
        <v>258</v>
      </c>
      <c r="G35" s="5" t="s">
        <v>786</v>
      </c>
      <c r="H35" s="26" t="s">
        <v>787</v>
      </c>
      <c r="I35" s="25" t="b">
        <f aca="false">TRUE()</f>
        <v>1</v>
      </c>
      <c r="J35" s="7" t="n">
        <v>3000</v>
      </c>
      <c r="K35" s="7"/>
      <c r="L35" s="7"/>
      <c r="M35" s="7"/>
      <c r="N35" s="7"/>
      <c r="O35" s="7"/>
      <c r="P35" s="7" t="n">
        <f aca="false">SUM(K35:O35)</f>
        <v>0</v>
      </c>
    </row>
    <row r="36" customFormat="false" ht="15" hidden="false" customHeight="false" outlineLevel="0" collapsed="false">
      <c r="A36" s="5" t="n">
        <v>32</v>
      </c>
      <c r="B36" s="5" t="s">
        <v>263</v>
      </c>
      <c r="C36" s="5" t="s">
        <v>264</v>
      </c>
      <c r="D36" s="5" t="s">
        <v>264</v>
      </c>
      <c r="E36" s="5" t="s">
        <v>188</v>
      </c>
      <c r="F36" s="5" t="s">
        <v>189</v>
      </c>
      <c r="G36" s="5" t="s">
        <v>786</v>
      </c>
      <c r="H36" s="26" t="s">
        <v>787</v>
      </c>
      <c r="I36" s="25" t="b">
        <f aca="false">TRUE()</f>
        <v>1</v>
      </c>
      <c r="J36" s="7" t="n">
        <v>2948</v>
      </c>
      <c r="K36" s="7"/>
      <c r="L36" s="7"/>
      <c r="M36" s="7" t="n">
        <v>358</v>
      </c>
      <c r="N36" s="7"/>
      <c r="O36" s="7"/>
      <c r="P36" s="7" t="n">
        <f aca="false">SUM(K36:O36)</f>
        <v>358</v>
      </c>
    </row>
    <row r="37" customFormat="false" ht="15" hidden="false" customHeight="false" outlineLevel="0" collapsed="false">
      <c r="A37" s="5" t="n">
        <v>33</v>
      </c>
      <c r="B37" s="5" t="s">
        <v>277</v>
      </c>
      <c r="C37" s="5" t="s">
        <v>278</v>
      </c>
      <c r="D37" s="5" t="s">
        <v>279</v>
      </c>
      <c r="E37" s="5" t="s">
        <v>280</v>
      </c>
      <c r="F37" s="5" t="s">
        <v>281</v>
      </c>
      <c r="G37" s="5" t="s">
        <v>786</v>
      </c>
      <c r="H37" s="26" t="s">
        <v>787</v>
      </c>
      <c r="I37" s="25" t="b">
        <f aca="false">TRUE()</f>
        <v>1</v>
      </c>
      <c r="J37" s="7" t="n">
        <v>2797</v>
      </c>
      <c r="K37" s="7"/>
      <c r="L37" s="7"/>
      <c r="M37" s="7"/>
      <c r="N37" s="7"/>
      <c r="O37" s="7"/>
      <c r="P37" s="7" t="n">
        <f aca="false">SUM(K37:O37)</f>
        <v>0</v>
      </c>
    </row>
    <row r="38" customFormat="false" ht="15" hidden="false" customHeight="false" outlineLevel="0" collapsed="false">
      <c r="A38" s="5" t="n">
        <v>34</v>
      </c>
      <c r="B38" s="5" t="s">
        <v>282</v>
      </c>
      <c r="C38" s="5" t="s">
        <v>283</v>
      </c>
      <c r="D38" s="5" t="s">
        <v>284</v>
      </c>
      <c r="E38" s="5" t="s">
        <v>280</v>
      </c>
      <c r="F38" s="5" t="s">
        <v>281</v>
      </c>
      <c r="G38" s="5" t="s">
        <v>786</v>
      </c>
      <c r="H38" s="26" t="s">
        <v>787</v>
      </c>
      <c r="I38" s="25" t="b">
        <f aca="false">TRUE()</f>
        <v>1</v>
      </c>
      <c r="J38" s="7" t="n">
        <v>2751</v>
      </c>
      <c r="K38" s="7" t="n">
        <v>640</v>
      </c>
      <c r="L38" s="7"/>
      <c r="M38" s="7" t="n">
        <v>207</v>
      </c>
      <c r="N38" s="7"/>
      <c r="O38" s="7"/>
      <c r="P38" s="7" t="n">
        <f aca="false">SUM(K38:O38)</f>
        <v>847</v>
      </c>
    </row>
    <row r="39" customFormat="false" ht="15" hidden="false" customHeight="false" outlineLevel="0" collapsed="false">
      <c r="A39" s="5" t="n">
        <v>35</v>
      </c>
      <c r="B39" s="5" t="s">
        <v>285</v>
      </c>
      <c r="C39" s="5" t="s">
        <v>286</v>
      </c>
      <c r="D39" s="5" t="s">
        <v>287</v>
      </c>
      <c r="E39" s="5" t="s">
        <v>280</v>
      </c>
      <c r="F39" s="5" t="s">
        <v>281</v>
      </c>
      <c r="G39" s="5" t="s">
        <v>786</v>
      </c>
      <c r="H39" s="26" t="s">
        <v>787</v>
      </c>
      <c r="I39" s="25" t="b">
        <f aca="false">TRUE()</f>
        <v>1</v>
      </c>
      <c r="J39" s="7" t="n">
        <v>2749</v>
      </c>
      <c r="K39" s="7" t="n">
        <v>630</v>
      </c>
      <c r="L39" s="7"/>
      <c r="M39" s="7" t="n">
        <v>212</v>
      </c>
      <c r="N39" s="7"/>
      <c r="O39" s="7"/>
      <c r="P39" s="7" t="n">
        <f aca="false">SUM(K39:O39)</f>
        <v>842</v>
      </c>
    </row>
    <row r="40" customFormat="false" ht="15" hidden="false" customHeight="false" outlineLevel="0" collapsed="false">
      <c r="A40" s="5" t="n">
        <v>36</v>
      </c>
      <c r="B40" s="5" t="s">
        <v>291</v>
      </c>
      <c r="C40" s="5" t="s">
        <v>292</v>
      </c>
      <c r="D40" s="5" t="s">
        <v>293</v>
      </c>
      <c r="E40" s="5" t="s">
        <v>280</v>
      </c>
      <c r="F40" s="5" t="s">
        <v>281</v>
      </c>
      <c r="G40" s="5" t="s">
        <v>786</v>
      </c>
      <c r="H40" s="26" t="s">
        <v>787</v>
      </c>
      <c r="I40" s="25" t="b">
        <f aca="false">TRUE()</f>
        <v>1</v>
      </c>
      <c r="J40" s="7" t="n">
        <v>2738</v>
      </c>
      <c r="K40" s="7" t="n">
        <v>643</v>
      </c>
      <c r="L40" s="7"/>
      <c r="M40" s="7" t="n">
        <v>207</v>
      </c>
      <c r="N40" s="7"/>
      <c r="O40" s="7"/>
      <c r="P40" s="7" t="n">
        <f aca="false">SUM(K40:O40)</f>
        <v>850</v>
      </c>
    </row>
    <row r="41" customFormat="false" ht="15" hidden="false" customHeight="false" outlineLevel="0" collapsed="false">
      <c r="A41" s="5" t="n">
        <v>37</v>
      </c>
      <c r="B41" s="5" t="s">
        <v>296</v>
      </c>
      <c r="C41" s="5" t="s">
        <v>297</v>
      </c>
      <c r="D41" s="5" t="s">
        <v>298</v>
      </c>
      <c r="E41" s="5" t="s">
        <v>280</v>
      </c>
      <c r="F41" s="5" t="s">
        <v>281</v>
      </c>
      <c r="G41" s="5" t="s">
        <v>786</v>
      </c>
      <c r="H41" s="26" t="s">
        <v>787</v>
      </c>
      <c r="I41" s="25" t="b">
        <f aca="false">TRUE()</f>
        <v>1</v>
      </c>
      <c r="J41" s="7" t="n">
        <v>2721</v>
      </c>
      <c r="K41" s="7" t="n">
        <v>640</v>
      </c>
      <c r="L41" s="7"/>
      <c r="M41" s="7" t="n">
        <v>175</v>
      </c>
      <c r="N41" s="7"/>
      <c r="O41" s="7"/>
      <c r="P41" s="7" t="n">
        <f aca="false">SUM(K41:O41)</f>
        <v>815</v>
      </c>
    </row>
    <row r="42" customFormat="false" ht="15" hidden="false" customHeight="false" outlineLevel="0" collapsed="false">
      <c r="A42" s="5" t="n">
        <v>38</v>
      </c>
      <c r="B42" s="5" t="s">
        <v>299</v>
      </c>
      <c r="C42" s="5" t="s">
        <v>300</v>
      </c>
      <c r="D42" s="5" t="s">
        <v>301</v>
      </c>
      <c r="E42" s="5" t="s">
        <v>280</v>
      </c>
      <c r="F42" s="5" t="s">
        <v>281</v>
      </c>
      <c r="G42" s="5" t="s">
        <v>786</v>
      </c>
      <c r="H42" s="26" t="s">
        <v>787</v>
      </c>
      <c r="I42" s="25" t="b">
        <f aca="false">TRUE()</f>
        <v>1</v>
      </c>
      <c r="J42" s="7" t="n">
        <v>2718</v>
      </c>
      <c r="K42" s="7" t="n">
        <v>643</v>
      </c>
      <c r="L42" s="7"/>
      <c r="M42" s="7" t="n">
        <v>195</v>
      </c>
      <c r="N42" s="7" t="n">
        <v>243</v>
      </c>
      <c r="O42" s="7"/>
      <c r="P42" s="7" t="n">
        <f aca="false">SUM(K42:O42)</f>
        <v>1081</v>
      </c>
    </row>
    <row r="43" customFormat="false" ht="15" hidden="false" customHeight="false" outlineLevel="0" collapsed="false">
      <c r="A43" s="5" t="n">
        <v>39</v>
      </c>
      <c r="B43" s="5" t="s">
        <v>302</v>
      </c>
      <c r="C43" s="5" t="s">
        <v>303</v>
      </c>
      <c r="D43" s="5" t="s">
        <v>304</v>
      </c>
      <c r="E43" s="5" t="s">
        <v>280</v>
      </c>
      <c r="F43" s="5" t="s">
        <v>281</v>
      </c>
      <c r="G43" s="5" t="s">
        <v>786</v>
      </c>
      <c r="H43" s="26" t="s">
        <v>787</v>
      </c>
      <c r="I43" s="25" t="b">
        <f aca="false">TRUE()</f>
        <v>1</v>
      </c>
      <c r="J43" s="7" t="n">
        <v>2682</v>
      </c>
      <c r="K43" s="7" t="n">
        <v>646</v>
      </c>
      <c r="L43" s="7"/>
      <c r="M43" s="7" t="n">
        <v>190</v>
      </c>
      <c r="N43" s="7"/>
      <c r="O43" s="7"/>
      <c r="P43" s="7" t="n">
        <f aca="false">SUM(K43:O43)</f>
        <v>836</v>
      </c>
    </row>
    <row r="44" customFormat="false" ht="15" hidden="false" customHeight="false" outlineLevel="0" collapsed="false">
      <c r="A44" s="5" t="n">
        <v>40</v>
      </c>
      <c r="B44" s="5" t="s">
        <v>305</v>
      </c>
      <c r="C44" s="5" t="s">
        <v>306</v>
      </c>
      <c r="D44" s="5" t="s">
        <v>307</v>
      </c>
      <c r="E44" s="5" t="s">
        <v>280</v>
      </c>
      <c r="F44" s="5" t="s">
        <v>281</v>
      </c>
      <c r="G44" s="5" t="s">
        <v>786</v>
      </c>
      <c r="H44" s="26" t="s">
        <v>787</v>
      </c>
      <c r="I44" s="25" t="b">
        <f aca="false">TRUE()</f>
        <v>1</v>
      </c>
      <c r="J44" s="7" t="n">
        <v>2680</v>
      </c>
      <c r="K44" s="7" t="n">
        <v>659</v>
      </c>
      <c r="L44" s="7"/>
      <c r="M44" s="7" t="n">
        <v>179</v>
      </c>
      <c r="N44" s="7"/>
      <c r="O44" s="7"/>
      <c r="P44" s="7" t="n">
        <f aca="false">SUM(K44:O44)</f>
        <v>838</v>
      </c>
    </row>
    <row r="45" customFormat="false" ht="15" hidden="false" customHeight="false" outlineLevel="0" collapsed="false">
      <c r="A45" s="5" t="n">
        <v>41</v>
      </c>
      <c r="B45" s="5" t="s">
        <v>308</v>
      </c>
      <c r="C45" s="5" t="s">
        <v>309</v>
      </c>
      <c r="D45" s="5" t="s">
        <v>310</v>
      </c>
      <c r="E45" s="5" t="s">
        <v>280</v>
      </c>
      <c r="F45" s="5" t="s">
        <v>281</v>
      </c>
      <c r="G45" s="5" t="s">
        <v>786</v>
      </c>
      <c r="H45" s="26" t="s">
        <v>787</v>
      </c>
      <c r="I45" s="25" t="b">
        <f aca="false">TRUE()</f>
        <v>1</v>
      </c>
      <c r="J45" s="7" t="n">
        <v>2648</v>
      </c>
      <c r="K45" s="7" t="n">
        <v>658</v>
      </c>
      <c r="L45" s="7"/>
      <c r="M45" s="7" t="n">
        <v>170</v>
      </c>
      <c r="N45" s="7"/>
      <c r="O45" s="7"/>
      <c r="P45" s="7" t="n">
        <f aca="false">SUM(K45:O45)</f>
        <v>828</v>
      </c>
    </row>
    <row r="46" customFormat="false" ht="15" hidden="false" customHeight="false" outlineLevel="0" collapsed="false">
      <c r="A46" s="5" t="n">
        <v>42</v>
      </c>
      <c r="B46" s="5" t="s">
        <v>311</v>
      </c>
      <c r="C46" s="5" t="s">
        <v>312</v>
      </c>
      <c r="D46" s="5" t="s">
        <v>313</v>
      </c>
      <c r="E46" s="5" t="s">
        <v>280</v>
      </c>
      <c r="F46" s="5" t="s">
        <v>281</v>
      </c>
      <c r="G46" s="5" t="s">
        <v>786</v>
      </c>
      <c r="H46" s="26" t="s">
        <v>787</v>
      </c>
      <c r="I46" s="25" t="b">
        <f aca="false">TRUE()</f>
        <v>1</v>
      </c>
      <c r="J46" s="7" t="n">
        <v>2635</v>
      </c>
      <c r="K46" s="7" t="n">
        <v>642</v>
      </c>
      <c r="L46" s="7"/>
      <c r="M46" s="7" t="n">
        <v>168</v>
      </c>
      <c r="N46" s="7"/>
      <c r="O46" s="7"/>
      <c r="P46" s="7" t="n">
        <f aca="false">SUM(K46:O46)</f>
        <v>810</v>
      </c>
    </row>
    <row r="47" customFormat="false" ht="15" hidden="false" customHeight="false" outlineLevel="0" collapsed="false">
      <c r="A47" s="5" t="n">
        <v>43</v>
      </c>
      <c r="B47" s="5" t="s">
        <v>314</v>
      </c>
      <c r="C47" s="5" t="s">
        <v>315</v>
      </c>
      <c r="D47" s="5" t="s">
        <v>316</v>
      </c>
      <c r="E47" s="5" t="s">
        <v>280</v>
      </c>
      <c r="F47" s="5" t="s">
        <v>281</v>
      </c>
      <c r="G47" s="5" t="s">
        <v>786</v>
      </c>
      <c r="H47" s="26" t="s">
        <v>787</v>
      </c>
      <c r="I47" s="25" t="b">
        <f aca="false">TRUE()</f>
        <v>1</v>
      </c>
      <c r="J47" s="7" t="n">
        <v>2615</v>
      </c>
      <c r="K47" s="7" t="n">
        <v>644</v>
      </c>
      <c r="L47" s="7"/>
      <c r="M47" s="7" t="n">
        <v>210</v>
      </c>
      <c r="N47" s="7"/>
      <c r="O47" s="7"/>
      <c r="P47" s="7" t="n">
        <f aca="false">SUM(K47:O47)</f>
        <v>854</v>
      </c>
    </row>
    <row r="48" customFormat="false" ht="15" hidden="false" customHeight="false" outlineLevel="0" collapsed="false">
      <c r="A48" s="5" t="n">
        <v>44</v>
      </c>
      <c r="B48" s="5" t="s">
        <v>317</v>
      </c>
      <c r="C48" s="5" t="s">
        <v>318</v>
      </c>
      <c r="D48" s="5" t="s">
        <v>319</v>
      </c>
      <c r="E48" s="5" t="s">
        <v>251</v>
      </c>
      <c r="F48" s="5" t="s">
        <v>252</v>
      </c>
      <c r="G48" s="5" t="s">
        <v>786</v>
      </c>
      <c r="H48" s="26" t="s">
        <v>787</v>
      </c>
      <c r="I48" s="25" t="b">
        <f aca="false">TRUE()</f>
        <v>1</v>
      </c>
      <c r="J48" s="7" t="n">
        <v>2602</v>
      </c>
      <c r="K48" s="7"/>
      <c r="L48" s="7"/>
      <c r="M48" s="7" t="n">
        <v>51</v>
      </c>
      <c r="N48" s="7"/>
      <c r="O48" s="7"/>
      <c r="P48" s="7" t="n">
        <f aca="false">SUM(K48:O48)</f>
        <v>51</v>
      </c>
    </row>
    <row r="49" customFormat="false" ht="15" hidden="false" customHeight="false" outlineLevel="0" collapsed="false">
      <c r="A49" s="5" t="n">
        <v>45</v>
      </c>
      <c r="B49" s="5" t="s">
        <v>320</v>
      </c>
      <c r="C49" s="5" t="s">
        <v>321</v>
      </c>
      <c r="D49" s="5" t="s">
        <v>322</v>
      </c>
      <c r="E49" s="5" t="s">
        <v>280</v>
      </c>
      <c r="F49" s="5" t="s">
        <v>281</v>
      </c>
      <c r="G49" s="5" t="s">
        <v>786</v>
      </c>
      <c r="H49" s="26" t="s">
        <v>787</v>
      </c>
      <c r="I49" s="25" t="b">
        <f aca="false">TRUE()</f>
        <v>1</v>
      </c>
      <c r="J49" s="7" t="n">
        <v>2591</v>
      </c>
      <c r="K49" s="7" t="n">
        <v>641</v>
      </c>
      <c r="L49" s="7"/>
      <c r="M49" s="7" t="n">
        <v>166</v>
      </c>
      <c r="N49" s="7"/>
      <c r="O49" s="7"/>
      <c r="P49" s="7" t="n">
        <f aca="false">SUM(K49:O49)</f>
        <v>807</v>
      </c>
    </row>
    <row r="50" customFormat="false" ht="15" hidden="false" customHeight="false" outlineLevel="0" collapsed="false">
      <c r="A50" s="5" t="n">
        <v>46</v>
      </c>
      <c r="B50" s="5" t="s">
        <v>323</v>
      </c>
      <c r="C50" s="5" t="s">
        <v>324</v>
      </c>
      <c r="D50" s="5" t="s">
        <v>325</v>
      </c>
      <c r="E50" s="5" t="s">
        <v>280</v>
      </c>
      <c r="F50" s="5" t="s">
        <v>281</v>
      </c>
      <c r="G50" s="5" t="s">
        <v>786</v>
      </c>
      <c r="H50" s="26" t="s">
        <v>787</v>
      </c>
      <c r="I50" s="25" t="b">
        <f aca="false">TRUE()</f>
        <v>1</v>
      </c>
      <c r="J50" s="7" t="n">
        <v>2579</v>
      </c>
      <c r="K50" s="7" t="n">
        <v>654</v>
      </c>
      <c r="L50" s="7"/>
      <c r="M50" s="7" t="n">
        <v>182</v>
      </c>
      <c r="N50" s="7" t="n">
        <v>249</v>
      </c>
      <c r="O50" s="7"/>
      <c r="P50" s="7" t="n">
        <f aca="false">SUM(K50:O50)</f>
        <v>1085</v>
      </c>
    </row>
    <row r="51" customFormat="false" ht="15" hidden="false" customHeight="false" outlineLevel="0" collapsed="false">
      <c r="A51" s="5" t="n">
        <v>47</v>
      </c>
      <c r="B51" s="5" t="s">
        <v>326</v>
      </c>
      <c r="C51" s="5" t="s">
        <v>327</v>
      </c>
      <c r="D51" s="5" t="s">
        <v>328</v>
      </c>
      <c r="E51" s="5" t="s">
        <v>280</v>
      </c>
      <c r="F51" s="5" t="s">
        <v>281</v>
      </c>
      <c r="G51" s="5" t="s">
        <v>786</v>
      </c>
      <c r="H51" s="26" t="s">
        <v>787</v>
      </c>
      <c r="I51" s="25" t="b">
        <f aca="false">TRUE()</f>
        <v>1</v>
      </c>
      <c r="J51" s="7" t="n">
        <v>2543</v>
      </c>
      <c r="K51" s="7" t="n">
        <v>642</v>
      </c>
      <c r="L51" s="7"/>
      <c r="M51" s="7" t="n">
        <v>157</v>
      </c>
      <c r="N51" s="7" t="n">
        <v>240</v>
      </c>
      <c r="O51" s="7"/>
      <c r="P51" s="7" t="n">
        <f aca="false">SUM(K51:O51)</f>
        <v>1039</v>
      </c>
    </row>
    <row r="52" customFormat="false" ht="15" hidden="false" customHeight="false" outlineLevel="0" collapsed="false">
      <c r="A52" s="5" t="n">
        <v>48</v>
      </c>
      <c r="B52" s="5" t="s">
        <v>329</v>
      </c>
      <c r="C52" s="5" t="s">
        <v>330</v>
      </c>
      <c r="D52" s="5" t="s">
        <v>331</v>
      </c>
      <c r="E52" s="5" t="s">
        <v>280</v>
      </c>
      <c r="F52" s="5" t="s">
        <v>281</v>
      </c>
      <c r="G52" s="5" t="s">
        <v>786</v>
      </c>
      <c r="H52" s="26" t="s">
        <v>787</v>
      </c>
      <c r="I52" s="25" t="b">
        <f aca="false">TRUE()</f>
        <v>1</v>
      </c>
      <c r="J52" s="7" t="n">
        <v>2529</v>
      </c>
      <c r="K52" s="7" t="n">
        <v>650</v>
      </c>
      <c r="L52" s="7"/>
      <c r="M52" s="7" t="n">
        <v>140</v>
      </c>
      <c r="N52" s="7" t="n">
        <v>244</v>
      </c>
      <c r="O52" s="7"/>
      <c r="P52" s="7" t="n">
        <f aca="false">SUM(K52:O52)</f>
        <v>1034</v>
      </c>
    </row>
    <row r="53" customFormat="false" ht="15" hidden="false" customHeight="false" outlineLevel="0" collapsed="false">
      <c r="A53" s="5" t="n">
        <v>49</v>
      </c>
      <c r="B53" s="5" t="s">
        <v>332</v>
      </c>
      <c r="C53" s="5" t="s">
        <v>333</v>
      </c>
      <c r="D53" s="5" t="s">
        <v>334</v>
      </c>
      <c r="E53" s="5" t="s">
        <v>280</v>
      </c>
      <c r="F53" s="5" t="s">
        <v>281</v>
      </c>
      <c r="G53" s="5" t="s">
        <v>786</v>
      </c>
      <c r="H53" s="26" t="s">
        <v>787</v>
      </c>
      <c r="I53" s="25" t="b">
        <f aca="false">TRUE()</f>
        <v>1</v>
      </c>
      <c r="J53" s="7" t="n">
        <v>2460</v>
      </c>
      <c r="K53" s="7" t="n">
        <v>646</v>
      </c>
      <c r="L53" s="7"/>
      <c r="M53" s="7" t="n">
        <v>198</v>
      </c>
      <c r="N53" s="7"/>
      <c r="O53" s="7"/>
      <c r="P53" s="7" t="n">
        <f aca="false">SUM(K53:O53)</f>
        <v>844</v>
      </c>
    </row>
    <row r="54" customFormat="false" ht="15" hidden="false" customHeight="false" outlineLevel="0" collapsed="false">
      <c r="A54" s="5" t="n">
        <v>50</v>
      </c>
      <c r="B54" s="5" t="s">
        <v>335</v>
      </c>
      <c r="C54" s="5" t="s">
        <v>336</v>
      </c>
      <c r="D54" s="5" t="s">
        <v>337</v>
      </c>
      <c r="E54" s="5" t="s">
        <v>280</v>
      </c>
      <c r="F54" s="5" t="s">
        <v>281</v>
      </c>
      <c r="G54" s="5" t="s">
        <v>786</v>
      </c>
      <c r="H54" s="26" t="s">
        <v>787</v>
      </c>
      <c r="I54" s="25" t="b">
        <f aca="false">TRUE()</f>
        <v>1</v>
      </c>
      <c r="J54" s="7" t="n">
        <v>2452</v>
      </c>
      <c r="K54" s="7" t="n">
        <v>646</v>
      </c>
      <c r="L54" s="7"/>
      <c r="M54" s="7" t="n">
        <v>185</v>
      </c>
      <c r="N54" s="7"/>
      <c r="O54" s="7"/>
      <c r="P54" s="7" t="n">
        <f aca="false">SUM(K54:O54)</f>
        <v>831</v>
      </c>
    </row>
    <row r="55" customFormat="false" ht="15" hidden="false" customHeight="false" outlineLevel="0" collapsed="false">
      <c r="A55" s="5" t="n">
        <v>51</v>
      </c>
      <c r="B55" s="5" t="s">
        <v>338</v>
      </c>
      <c r="C55" s="5" t="s">
        <v>339</v>
      </c>
      <c r="D55" s="5" t="s">
        <v>340</v>
      </c>
      <c r="E55" s="5" t="s">
        <v>785</v>
      </c>
      <c r="F55" s="5" t="s">
        <v>100</v>
      </c>
      <c r="G55" s="5" t="s">
        <v>786</v>
      </c>
      <c r="H55" s="26" t="s">
        <v>787</v>
      </c>
      <c r="I55" s="25" t="b">
        <f aca="false">TRUE()</f>
        <v>1</v>
      </c>
      <c r="J55" s="7" t="n">
        <v>2444</v>
      </c>
      <c r="K55" s="7" t="n">
        <v>673</v>
      </c>
      <c r="L55" s="7"/>
      <c r="M55" s="7" t="n">
        <v>205</v>
      </c>
      <c r="N55" s="7"/>
      <c r="O55" s="7"/>
      <c r="P55" s="7" t="n">
        <f aca="false">SUM(K55:O55)</f>
        <v>878</v>
      </c>
    </row>
    <row r="56" customFormat="false" ht="15" hidden="false" customHeight="false" outlineLevel="0" collapsed="false">
      <c r="A56" s="5" t="n">
        <v>52</v>
      </c>
      <c r="B56" s="5" t="s">
        <v>349</v>
      </c>
      <c r="C56" s="5" t="s">
        <v>350</v>
      </c>
      <c r="D56" s="5" t="s">
        <v>351</v>
      </c>
      <c r="E56" s="5" t="s">
        <v>280</v>
      </c>
      <c r="F56" s="5" t="s">
        <v>281</v>
      </c>
      <c r="G56" s="5" t="s">
        <v>786</v>
      </c>
      <c r="H56" s="26" t="s">
        <v>787</v>
      </c>
      <c r="I56" s="25" t="b">
        <f aca="false">TRUE()</f>
        <v>1</v>
      </c>
      <c r="J56" s="7" t="n">
        <v>2321</v>
      </c>
      <c r="K56" s="7"/>
      <c r="L56" s="7"/>
      <c r="M56" s="7"/>
      <c r="N56" s="7"/>
      <c r="O56" s="7"/>
      <c r="P56" s="7" t="n">
        <f aca="false">SUM(K56:O56)</f>
        <v>0</v>
      </c>
    </row>
    <row r="57" customFormat="false" ht="15" hidden="false" customHeight="false" outlineLevel="0" collapsed="false">
      <c r="A57" s="5" t="n">
        <v>53</v>
      </c>
      <c r="B57" s="5" t="s">
        <v>352</v>
      </c>
      <c r="C57" s="5" t="s">
        <v>353</v>
      </c>
      <c r="D57" s="5" t="s">
        <v>354</v>
      </c>
      <c r="E57" s="5" t="s">
        <v>813</v>
      </c>
      <c r="F57" s="5" t="s">
        <v>355</v>
      </c>
      <c r="G57" s="5" t="s">
        <v>353</v>
      </c>
      <c r="H57" s="14" t="s">
        <v>783</v>
      </c>
      <c r="I57" s="25" t="b">
        <f aca="false">TRUE()</f>
        <v>1</v>
      </c>
      <c r="J57" s="7" t="n">
        <v>2268</v>
      </c>
      <c r="K57" s="7" t="n">
        <v>781</v>
      </c>
      <c r="L57" s="7"/>
      <c r="M57" s="7" t="n">
        <v>692</v>
      </c>
      <c r="N57" s="7" t="n">
        <v>112</v>
      </c>
      <c r="O57" s="7"/>
      <c r="P57" s="7" t="n">
        <f aca="false">SUM(K57:O57)</f>
        <v>1585</v>
      </c>
    </row>
    <row r="58" customFormat="false" ht="15" hidden="false" customHeight="false" outlineLevel="0" collapsed="false">
      <c r="A58" s="5" t="n">
        <v>54</v>
      </c>
      <c r="B58" s="5" t="s">
        <v>356</v>
      </c>
      <c r="C58" s="5" t="s">
        <v>357</v>
      </c>
      <c r="D58" s="5" t="s">
        <v>358</v>
      </c>
      <c r="E58" s="5" t="s">
        <v>280</v>
      </c>
      <c r="F58" s="5" t="s">
        <v>281</v>
      </c>
      <c r="G58" s="5" t="s">
        <v>786</v>
      </c>
      <c r="H58" s="26" t="s">
        <v>787</v>
      </c>
      <c r="I58" s="25" t="b">
        <f aca="false">TRUE()</f>
        <v>1</v>
      </c>
      <c r="J58" s="7" t="n">
        <v>2265</v>
      </c>
      <c r="K58" s="7" t="n">
        <v>791</v>
      </c>
      <c r="L58" s="7"/>
      <c r="M58" s="7" t="n">
        <v>84</v>
      </c>
      <c r="N58" s="7" t="n">
        <v>263</v>
      </c>
      <c r="O58" s="7"/>
      <c r="P58" s="7" t="n">
        <f aca="false">SUM(K58:O58)</f>
        <v>1138</v>
      </c>
    </row>
    <row r="59" customFormat="false" ht="15" hidden="false" customHeight="false" outlineLevel="0" collapsed="false">
      <c r="A59" s="5" t="n">
        <v>55</v>
      </c>
      <c r="B59" s="5" t="s">
        <v>366</v>
      </c>
      <c r="C59" s="5" t="s">
        <v>367</v>
      </c>
      <c r="D59" s="5" t="s">
        <v>368</v>
      </c>
      <c r="E59" s="5" t="s">
        <v>280</v>
      </c>
      <c r="F59" s="5" t="s">
        <v>281</v>
      </c>
      <c r="G59" s="5" t="s">
        <v>786</v>
      </c>
      <c r="H59" s="26" t="s">
        <v>787</v>
      </c>
      <c r="I59" s="25" t="b">
        <f aca="false">TRUE()</f>
        <v>1</v>
      </c>
      <c r="J59" s="7" t="n">
        <v>2115</v>
      </c>
      <c r="K59" s="7" t="n">
        <v>598</v>
      </c>
      <c r="L59" s="7"/>
      <c r="M59" s="7" t="n">
        <v>111</v>
      </c>
      <c r="N59" s="7"/>
      <c r="O59" s="7"/>
      <c r="P59" s="7" t="n">
        <f aca="false">SUM(K59:O59)</f>
        <v>709</v>
      </c>
    </row>
    <row r="60" customFormat="false" ht="15" hidden="false" customHeight="false" outlineLevel="0" collapsed="false">
      <c r="A60" s="5" t="n">
        <v>56</v>
      </c>
      <c r="B60" s="5" t="s">
        <v>816</v>
      </c>
      <c r="C60" s="5" t="s">
        <v>817</v>
      </c>
      <c r="D60" s="5" t="s">
        <v>818</v>
      </c>
      <c r="E60" s="5" t="s">
        <v>785</v>
      </c>
      <c r="F60" s="5" t="s">
        <v>100</v>
      </c>
      <c r="G60" s="5" t="s">
        <v>97</v>
      </c>
      <c r="H60" s="27" t="s">
        <v>791</v>
      </c>
      <c r="I60" s="25" t="b">
        <f aca="false">FALSE()</f>
        <v>0</v>
      </c>
      <c r="J60" s="7" t="n">
        <v>1968</v>
      </c>
      <c r="K60" s="7" t="n">
        <v>606</v>
      </c>
      <c r="L60" s="7"/>
      <c r="M60" s="7" t="n">
        <v>360</v>
      </c>
      <c r="N60" s="7"/>
      <c r="O60" s="7"/>
      <c r="P60" s="7" t="n">
        <f aca="false">SUM(K60:O60)</f>
        <v>966</v>
      </c>
    </row>
    <row r="61" customFormat="false" ht="15" hidden="false" customHeight="false" outlineLevel="0" collapsed="false">
      <c r="A61" s="5" t="n">
        <v>57</v>
      </c>
      <c r="B61" s="5" t="s">
        <v>372</v>
      </c>
      <c r="C61" s="5" t="s">
        <v>373</v>
      </c>
      <c r="D61" s="5" t="s">
        <v>374</v>
      </c>
      <c r="E61" s="5" t="s">
        <v>60</v>
      </c>
      <c r="F61" s="5" t="s">
        <v>95</v>
      </c>
      <c r="G61" s="5" t="s">
        <v>786</v>
      </c>
      <c r="H61" s="26" t="s">
        <v>787</v>
      </c>
      <c r="I61" s="25" t="b">
        <f aca="false">TRUE()</f>
        <v>1</v>
      </c>
      <c r="J61" s="7" t="n">
        <v>1951</v>
      </c>
      <c r="K61" s="7"/>
      <c r="L61" s="7"/>
      <c r="M61" s="7" t="n">
        <v>157</v>
      </c>
      <c r="N61" s="7"/>
      <c r="O61" s="7" t="n">
        <v>1296</v>
      </c>
      <c r="P61" s="7" t="n">
        <f aca="false">SUM(K61:O61)</f>
        <v>1453</v>
      </c>
    </row>
    <row r="62" customFormat="false" ht="15" hidden="false" customHeight="false" outlineLevel="0" collapsed="false">
      <c r="A62" s="5" t="n">
        <v>58</v>
      </c>
      <c r="B62" s="5" t="s">
        <v>819</v>
      </c>
      <c r="C62" s="5" t="s">
        <v>820</v>
      </c>
      <c r="D62" s="5" t="s">
        <v>821</v>
      </c>
      <c r="E62" s="5" t="s">
        <v>782</v>
      </c>
      <c r="F62" s="5" t="s">
        <v>68</v>
      </c>
      <c r="G62" s="5" t="s">
        <v>64</v>
      </c>
      <c r="H62" s="27" t="s">
        <v>791</v>
      </c>
      <c r="I62" s="25" t="b">
        <f aca="false">FALSE()</f>
        <v>0</v>
      </c>
      <c r="J62" s="7" t="n">
        <v>1921</v>
      </c>
      <c r="K62" s="7" t="n">
        <v>319</v>
      </c>
      <c r="L62" s="7"/>
      <c r="M62" s="7" t="n">
        <v>620</v>
      </c>
      <c r="N62" s="7" t="n">
        <v>400</v>
      </c>
      <c r="O62" s="7"/>
      <c r="P62" s="7" t="n">
        <f aca="false">SUM(K62:O62)</f>
        <v>1339</v>
      </c>
    </row>
    <row r="63" customFormat="false" ht="15" hidden="false" customHeight="false" outlineLevel="0" collapsed="false">
      <c r="A63" s="5" t="n">
        <v>59</v>
      </c>
      <c r="B63" s="5" t="s">
        <v>378</v>
      </c>
      <c r="C63" s="5" t="s">
        <v>379</v>
      </c>
      <c r="D63" s="5" t="s">
        <v>380</v>
      </c>
      <c r="E63" s="5" t="s">
        <v>280</v>
      </c>
      <c r="F63" s="5" t="s">
        <v>281</v>
      </c>
      <c r="G63" s="5" t="s">
        <v>786</v>
      </c>
      <c r="H63" s="26" t="s">
        <v>787</v>
      </c>
      <c r="I63" s="25" t="b">
        <f aca="false">TRUE()</f>
        <v>1</v>
      </c>
      <c r="J63" s="7" t="n">
        <v>1910</v>
      </c>
      <c r="K63" s="7" t="n">
        <v>496</v>
      </c>
      <c r="L63" s="7"/>
      <c r="M63" s="7" t="n">
        <v>117</v>
      </c>
      <c r="N63" s="7"/>
      <c r="O63" s="7"/>
      <c r="P63" s="7" t="n">
        <f aca="false">SUM(K63:O63)</f>
        <v>613</v>
      </c>
    </row>
    <row r="64" customFormat="false" ht="15" hidden="false" customHeight="false" outlineLevel="0" collapsed="false">
      <c r="A64" s="5" t="n">
        <v>60</v>
      </c>
      <c r="B64" s="5" t="s">
        <v>387</v>
      </c>
      <c r="C64" s="5" t="s">
        <v>388</v>
      </c>
      <c r="D64" s="5" t="s">
        <v>389</v>
      </c>
      <c r="E64" s="5" t="s">
        <v>784</v>
      </c>
      <c r="F64" s="5" t="s">
        <v>78</v>
      </c>
      <c r="G64" s="5" t="s">
        <v>786</v>
      </c>
      <c r="H64" s="26" t="s">
        <v>787</v>
      </c>
      <c r="I64" s="25" t="b">
        <f aca="false">TRUE()</f>
        <v>1</v>
      </c>
      <c r="J64" s="7" t="n">
        <v>1819</v>
      </c>
      <c r="K64" s="7"/>
      <c r="L64" s="7"/>
      <c r="M64" s="7" t="n">
        <v>25</v>
      </c>
      <c r="N64" s="7"/>
      <c r="O64" s="7"/>
      <c r="P64" s="7" t="n">
        <f aca="false">SUM(K64:O64)</f>
        <v>25</v>
      </c>
    </row>
    <row r="65" customFormat="false" ht="15" hidden="false" customHeight="false" outlineLevel="0" collapsed="false">
      <c r="A65" s="5" t="n">
        <v>61</v>
      </c>
      <c r="B65" s="5" t="s">
        <v>390</v>
      </c>
      <c r="C65" s="5" t="s">
        <v>391</v>
      </c>
      <c r="D65" s="5" t="s">
        <v>392</v>
      </c>
      <c r="E65" s="5" t="s">
        <v>393</v>
      </c>
      <c r="F65" s="5" t="s">
        <v>394</v>
      </c>
      <c r="G65" s="5" t="s">
        <v>822</v>
      </c>
      <c r="H65" s="14" t="s">
        <v>783</v>
      </c>
      <c r="I65" s="25" t="b">
        <f aca="false">TRUE()</f>
        <v>1</v>
      </c>
      <c r="J65" s="7" t="n">
        <v>1817</v>
      </c>
      <c r="K65" s="7" t="n">
        <v>475</v>
      </c>
      <c r="L65" s="7"/>
      <c r="M65" s="7" t="n">
        <v>535</v>
      </c>
      <c r="N65" s="7" t="n">
        <v>755</v>
      </c>
      <c r="O65" s="7"/>
      <c r="P65" s="7" t="n">
        <f aca="false">SUM(K65:O65)</f>
        <v>1765</v>
      </c>
    </row>
    <row r="66" customFormat="false" ht="15" hidden="false" customHeight="false" outlineLevel="0" collapsed="false">
      <c r="A66" s="5" t="n">
        <v>62</v>
      </c>
      <c r="B66" s="5" t="s">
        <v>823</v>
      </c>
      <c r="C66" s="5" t="s">
        <v>824</v>
      </c>
      <c r="D66" s="5" t="s">
        <v>825</v>
      </c>
      <c r="E66" s="5" t="s">
        <v>788</v>
      </c>
      <c r="F66" s="5" t="s">
        <v>119</v>
      </c>
      <c r="G66" s="5" t="s">
        <v>117</v>
      </c>
      <c r="H66" s="27" t="s">
        <v>791</v>
      </c>
      <c r="I66" s="25" t="b">
        <f aca="false">FALSE()</f>
        <v>0</v>
      </c>
      <c r="J66" s="7" t="n">
        <v>1815</v>
      </c>
      <c r="K66" s="7" t="n">
        <v>380</v>
      </c>
      <c r="L66" s="7"/>
      <c r="M66" s="7" t="n">
        <v>231</v>
      </c>
      <c r="N66" s="7"/>
      <c r="O66" s="7"/>
      <c r="P66" s="7" t="n">
        <f aca="false">SUM(K66:O66)</f>
        <v>611</v>
      </c>
    </row>
    <row r="67" customFormat="false" ht="15" hidden="false" customHeight="false" outlineLevel="0" collapsed="false">
      <c r="A67" s="5" t="n">
        <v>63</v>
      </c>
      <c r="B67" s="5" t="s">
        <v>409</v>
      </c>
      <c r="C67" s="5" t="s">
        <v>410</v>
      </c>
      <c r="D67" s="5" t="s">
        <v>411</v>
      </c>
      <c r="E67" s="5" t="s">
        <v>73</v>
      </c>
      <c r="F67" s="5" t="s">
        <v>74</v>
      </c>
      <c r="G67" s="5" t="s">
        <v>786</v>
      </c>
      <c r="H67" s="26" t="s">
        <v>787</v>
      </c>
      <c r="I67" s="25" t="b">
        <f aca="false">TRUE()</f>
        <v>1</v>
      </c>
      <c r="J67" s="7" t="n">
        <v>1500</v>
      </c>
      <c r="K67" s="7"/>
      <c r="L67" s="7"/>
      <c r="M67" s="7"/>
      <c r="N67" s="7"/>
      <c r="O67" s="7"/>
      <c r="P67" s="7" t="n">
        <f aca="false">SUM(K67:O67)</f>
        <v>0</v>
      </c>
    </row>
    <row r="68" customFormat="false" ht="15" hidden="false" customHeight="false" outlineLevel="0" collapsed="false">
      <c r="A68" s="5" t="n">
        <v>64</v>
      </c>
      <c r="B68" s="5" t="s">
        <v>424</v>
      </c>
      <c r="C68" s="5" t="s">
        <v>425</v>
      </c>
      <c r="D68" s="5" t="s">
        <v>426</v>
      </c>
      <c r="E68" s="5" t="s">
        <v>826</v>
      </c>
      <c r="F68" s="5" t="s">
        <v>348</v>
      </c>
      <c r="G68" s="5" t="s">
        <v>786</v>
      </c>
      <c r="H68" s="26" t="s">
        <v>787</v>
      </c>
      <c r="I68" s="25" t="b">
        <f aca="false">TRUE()</f>
        <v>1</v>
      </c>
      <c r="J68" s="7" t="n">
        <v>1439</v>
      </c>
      <c r="K68" s="7" t="n">
        <v>281</v>
      </c>
      <c r="L68" s="7"/>
      <c r="M68" s="7" t="n">
        <v>78</v>
      </c>
      <c r="N68" s="7" t="n">
        <v>31</v>
      </c>
      <c r="O68" s="7" t="n">
        <v>742</v>
      </c>
      <c r="P68" s="7" t="n">
        <f aca="false">SUM(K68:O68)</f>
        <v>1132</v>
      </c>
    </row>
    <row r="69" customFormat="false" ht="15" hidden="false" customHeight="false" outlineLevel="0" collapsed="false">
      <c r="A69" s="5" t="n">
        <v>65</v>
      </c>
      <c r="B69" s="5" t="s">
        <v>430</v>
      </c>
      <c r="C69" s="5" t="s">
        <v>431</v>
      </c>
      <c r="D69" s="5" t="s">
        <v>432</v>
      </c>
      <c r="E69" s="5" t="s">
        <v>107</v>
      </c>
      <c r="F69" s="5" t="s">
        <v>108</v>
      </c>
      <c r="G69" s="5" t="s">
        <v>786</v>
      </c>
      <c r="H69" s="26" t="s">
        <v>787</v>
      </c>
      <c r="I69" s="25" t="b">
        <f aca="false">TRUE()</f>
        <v>1</v>
      </c>
      <c r="J69" s="7" t="n">
        <v>1402</v>
      </c>
      <c r="K69" s="7" t="n">
        <v>200</v>
      </c>
      <c r="L69" s="7"/>
      <c r="M69" s="7" t="n">
        <v>28</v>
      </c>
      <c r="N69" s="7"/>
      <c r="O69" s="7"/>
      <c r="P69" s="7" t="n">
        <f aca="false">SUM(K69:O69)</f>
        <v>228</v>
      </c>
    </row>
    <row r="70" customFormat="false" ht="15" hidden="false" customHeight="false" outlineLevel="0" collapsed="false">
      <c r="A70" s="5" t="n">
        <v>66</v>
      </c>
      <c r="B70" s="5" t="s">
        <v>827</v>
      </c>
      <c r="C70" s="5" t="s">
        <v>828</v>
      </c>
      <c r="D70" s="5" t="s">
        <v>829</v>
      </c>
      <c r="E70" s="5" t="s">
        <v>788</v>
      </c>
      <c r="F70" s="5" t="s">
        <v>119</v>
      </c>
      <c r="G70" s="5" t="s">
        <v>64</v>
      </c>
      <c r="H70" s="27" t="s">
        <v>791</v>
      </c>
      <c r="I70" s="25" t="b">
        <f aca="false">FALSE()</f>
        <v>0</v>
      </c>
      <c r="J70" s="7" t="n">
        <v>1174</v>
      </c>
      <c r="K70" s="7" t="n">
        <v>377</v>
      </c>
      <c r="L70" s="7"/>
      <c r="M70" s="7" t="n">
        <v>121</v>
      </c>
      <c r="N70" s="7"/>
      <c r="O70" s="7"/>
      <c r="P70" s="7" t="n">
        <f aca="false">SUM(K70:O70)</f>
        <v>498</v>
      </c>
    </row>
    <row r="71" customFormat="false" ht="15" hidden="false" customHeight="false" outlineLevel="0" collapsed="false">
      <c r="A71" s="5" t="n">
        <v>67</v>
      </c>
      <c r="B71" s="5" t="s">
        <v>830</v>
      </c>
      <c r="C71" s="5" t="s">
        <v>831</v>
      </c>
      <c r="D71" s="5" t="s">
        <v>832</v>
      </c>
      <c r="E71" s="5" t="s">
        <v>788</v>
      </c>
      <c r="F71" s="5" t="s">
        <v>119</v>
      </c>
      <c r="G71" s="5" t="s">
        <v>117</v>
      </c>
      <c r="H71" s="27" t="s">
        <v>791</v>
      </c>
      <c r="I71" s="25" t="b">
        <f aca="false">FALSE()</f>
        <v>0</v>
      </c>
      <c r="J71" s="7" t="n">
        <v>1118</v>
      </c>
      <c r="K71" s="7" t="n">
        <v>335</v>
      </c>
      <c r="L71" s="7"/>
      <c r="M71" s="7" t="n">
        <v>2</v>
      </c>
      <c r="N71" s="7" t="n">
        <v>98</v>
      </c>
      <c r="O71" s="7"/>
      <c r="P71" s="7" t="n">
        <f aca="false">SUM(K71:O71)</f>
        <v>435</v>
      </c>
    </row>
    <row r="72" customFormat="false" ht="15" hidden="false" customHeight="false" outlineLevel="0" collapsed="false">
      <c r="A72" s="5" t="n">
        <v>68</v>
      </c>
      <c r="B72" s="5" t="s">
        <v>457</v>
      </c>
      <c r="C72" s="5" t="s">
        <v>458</v>
      </c>
      <c r="D72" s="5" t="s">
        <v>459</v>
      </c>
      <c r="E72" s="5" t="s">
        <v>134</v>
      </c>
      <c r="F72" s="5" t="s">
        <v>460</v>
      </c>
      <c r="G72" s="5" t="s">
        <v>786</v>
      </c>
      <c r="H72" s="26" t="s">
        <v>787</v>
      </c>
      <c r="I72" s="25" t="b">
        <f aca="false">TRUE()</f>
        <v>1</v>
      </c>
      <c r="J72" s="7" t="n">
        <v>1110</v>
      </c>
      <c r="K72" s="7" t="n">
        <v>386</v>
      </c>
      <c r="L72" s="7"/>
      <c r="M72" s="7" t="n">
        <v>54</v>
      </c>
      <c r="N72" s="7"/>
      <c r="O72" s="7"/>
      <c r="P72" s="7" t="n">
        <f aca="false">SUM(K72:O72)</f>
        <v>440</v>
      </c>
    </row>
    <row r="73" customFormat="false" ht="15" hidden="false" customHeight="false" outlineLevel="0" collapsed="false">
      <c r="A73" s="5" t="n">
        <v>69</v>
      </c>
      <c r="B73" s="5" t="s">
        <v>462</v>
      </c>
      <c r="C73" s="5" t="s">
        <v>463</v>
      </c>
      <c r="D73" s="5" t="s">
        <v>464</v>
      </c>
      <c r="E73" s="5" t="s">
        <v>815</v>
      </c>
      <c r="F73" s="5" t="s">
        <v>258</v>
      </c>
      <c r="G73" s="5" t="s">
        <v>786</v>
      </c>
      <c r="H73" s="26" t="s">
        <v>787</v>
      </c>
      <c r="I73" s="25" t="b">
        <f aca="false">TRUE()</f>
        <v>1</v>
      </c>
      <c r="J73" s="7" t="n">
        <v>1107</v>
      </c>
      <c r="K73" s="7" t="n">
        <v>395</v>
      </c>
      <c r="L73" s="7"/>
      <c r="M73" s="7" t="n">
        <v>387</v>
      </c>
      <c r="N73" s="7" t="n">
        <v>143</v>
      </c>
      <c r="O73" s="7"/>
      <c r="P73" s="7" t="n">
        <f aca="false">SUM(K73:O73)</f>
        <v>925</v>
      </c>
    </row>
    <row r="74" customFormat="false" ht="15" hidden="false" customHeight="false" outlineLevel="0" collapsed="false">
      <c r="A74" s="5" t="n">
        <v>70</v>
      </c>
      <c r="B74" s="5" t="s">
        <v>833</v>
      </c>
      <c r="C74" s="5" t="s">
        <v>834</v>
      </c>
      <c r="D74" s="5" t="s">
        <v>835</v>
      </c>
      <c r="E74" s="5" t="s">
        <v>815</v>
      </c>
      <c r="F74" s="5" t="s">
        <v>258</v>
      </c>
      <c r="G74" s="5" t="s">
        <v>71</v>
      </c>
      <c r="H74" s="27" t="s">
        <v>791</v>
      </c>
      <c r="I74" s="25" t="b">
        <f aca="false">FALSE()</f>
        <v>0</v>
      </c>
      <c r="J74" s="7" t="n">
        <v>1044</v>
      </c>
      <c r="K74" s="7" t="n">
        <v>685</v>
      </c>
      <c r="L74" s="7"/>
      <c r="M74" s="7" t="n">
        <v>104</v>
      </c>
      <c r="N74" s="7" t="n">
        <v>246</v>
      </c>
      <c r="O74" s="7"/>
      <c r="P74" s="7" t="n">
        <f aca="false">SUM(K74:O74)</f>
        <v>1035</v>
      </c>
    </row>
    <row r="75" customFormat="false" ht="15" hidden="false" customHeight="false" outlineLevel="0" collapsed="false">
      <c r="A75" s="5" t="n">
        <v>71</v>
      </c>
      <c r="B75" s="5" t="s">
        <v>836</v>
      </c>
      <c r="C75" s="5" t="s">
        <v>837</v>
      </c>
      <c r="D75" s="5" t="s">
        <v>838</v>
      </c>
      <c r="E75" s="5" t="s">
        <v>782</v>
      </c>
      <c r="F75" s="5" t="s">
        <v>68</v>
      </c>
      <c r="G75" s="5" t="s">
        <v>64</v>
      </c>
      <c r="H75" s="27" t="s">
        <v>791</v>
      </c>
      <c r="I75" s="25" t="b">
        <f aca="false">FALSE()</f>
        <v>0</v>
      </c>
      <c r="J75" s="7" t="n">
        <v>1033</v>
      </c>
      <c r="K75" s="7" t="n">
        <v>120</v>
      </c>
      <c r="L75" s="7"/>
      <c r="M75" s="7" t="n">
        <v>201</v>
      </c>
      <c r="N75" s="7" t="n">
        <v>360</v>
      </c>
      <c r="O75" s="7"/>
      <c r="P75" s="7" t="n">
        <f aca="false">SUM(K75:O75)</f>
        <v>681</v>
      </c>
    </row>
    <row r="76" customFormat="false" ht="15" hidden="false" customHeight="false" outlineLevel="0" collapsed="false">
      <c r="A76" s="5" t="n">
        <v>72</v>
      </c>
      <c r="B76" s="5" t="s">
        <v>839</v>
      </c>
      <c r="C76" s="5" t="s">
        <v>840</v>
      </c>
      <c r="D76" s="5" t="s">
        <v>841</v>
      </c>
      <c r="E76" s="5" t="s">
        <v>60</v>
      </c>
      <c r="F76" s="5" t="s">
        <v>842</v>
      </c>
      <c r="G76" s="5" t="s">
        <v>71</v>
      </c>
      <c r="H76" s="27" t="s">
        <v>791</v>
      </c>
      <c r="I76" s="25" t="b">
        <f aca="false">FALSE()</f>
        <v>0</v>
      </c>
      <c r="J76" s="7" t="n">
        <v>995</v>
      </c>
      <c r="K76" s="7" t="n">
        <v>537</v>
      </c>
      <c r="L76" s="7"/>
      <c r="M76" s="7" t="n">
        <v>142</v>
      </c>
      <c r="N76" s="7" t="n">
        <v>225</v>
      </c>
      <c r="O76" s="7"/>
      <c r="P76" s="7" t="n">
        <f aca="false">SUM(K76:O76)</f>
        <v>904</v>
      </c>
    </row>
    <row r="77" customFormat="false" ht="15" hidden="false" customHeight="false" outlineLevel="0" collapsed="false">
      <c r="A77" s="5" t="n">
        <v>73</v>
      </c>
      <c r="B77" s="5" t="s">
        <v>843</v>
      </c>
      <c r="C77" s="5" t="s">
        <v>844</v>
      </c>
      <c r="D77" s="5" t="s">
        <v>845</v>
      </c>
      <c r="E77" s="5" t="s">
        <v>788</v>
      </c>
      <c r="F77" s="5" t="s">
        <v>119</v>
      </c>
      <c r="G77" s="5" t="s">
        <v>117</v>
      </c>
      <c r="H77" s="27" t="s">
        <v>791</v>
      </c>
      <c r="I77" s="25" t="b">
        <f aca="false">FALSE()</f>
        <v>0</v>
      </c>
      <c r="J77" s="7" t="n">
        <v>991</v>
      </c>
      <c r="K77" s="7" t="n">
        <v>449</v>
      </c>
      <c r="L77" s="7"/>
      <c r="M77" s="7" t="n">
        <v>196</v>
      </c>
      <c r="N77" s="7"/>
      <c r="O77" s="7"/>
      <c r="P77" s="7" t="n">
        <f aca="false">SUM(K77:O77)</f>
        <v>645</v>
      </c>
    </row>
    <row r="78" customFormat="false" ht="15" hidden="false" customHeight="false" outlineLevel="0" collapsed="false">
      <c r="A78" s="5" t="n">
        <v>74</v>
      </c>
      <c r="B78" s="5" t="s">
        <v>517</v>
      </c>
      <c r="C78" s="5" t="s">
        <v>518</v>
      </c>
      <c r="D78" s="5" t="s">
        <v>519</v>
      </c>
      <c r="E78" s="5" t="s">
        <v>784</v>
      </c>
      <c r="F78" s="5" t="s">
        <v>78</v>
      </c>
      <c r="G78" s="5" t="s">
        <v>786</v>
      </c>
      <c r="H78" s="26" t="s">
        <v>787</v>
      </c>
      <c r="I78" s="25" t="b">
        <f aca="false">TRUE()</f>
        <v>1</v>
      </c>
      <c r="J78" s="7" t="n">
        <v>965</v>
      </c>
      <c r="K78" s="7"/>
      <c r="L78" s="7"/>
      <c r="M78" s="7"/>
      <c r="N78" s="7"/>
      <c r="O78" s="7"/>
      <c r="P78" s="7" t="n">
        <f aca="false">SUM(K78:O78)</f>
        <v>0</v>
      </c>
    </row>
    <row r="79" customFormat="false" ht="15" hidden="false" customHeight="false" outlineLevel="0" collapsed="false">
      <c r="A79" s="5" t="n">
        <v>75</v>
      </c>
      <c r="B79" s="5" t="s">
        <v>846</v>
      </c>
      <c r="C79" s="5" t="s">
        <v>847</v>
      </c>
      <c r="D79" s="5" t="s">
        <v>848</v>
      </c>
      <c r="E79" s="5" t="s">
        <v>393</v>
      </c>
      <c r="F79" s="5" t="s">
        <v>394</v>
      </c>
      <c r="G79" s="5" t="s">
        <v>822</v>
      </c>
      <c r="H79" s="27" t="s">
        <v>791</v>
      </c>
      <c r="I79" s="25" t="b">
        <f aca="false">FALSE()</f>
        <v>0</v>
      </c>
      <c r="J79" s="7" t="n">
        <v>946</v>
      </c>
      <c r="K79" s="7"/>
      <c r="L79" s="7"/>
      <c r="M79" s="7" t="n">
        <v>410</v>
      </c>
      <c r="N79" s="7"/>
      <c r="O79" s="7"/>
      <c r="P79" s="7" t="n">
        <f aca="false">SUM(K79:O79)</f>
        <v>410</v>
      </c>
    </row>
    <row r="80" customFormat="false" ht="15" hidden="false" customHeight="false" outlineLevel="0" collapsed="false">
      <c r="A80" s="5" t="n">
        <v>76</v>
      </c>
      <c r="B80" s="5" t="s">
        <v>524</v>
      </c>
      <c r="C80" s="5" t="s">
        <v>525</v>
      </c>
      <c r="D80" s="5" t="s">
        <v>526</v>
      </c>
      <c r="E80" s="5" t="s">
        <v>134</v>
      </c>
      <c r="F80" s="5" t="s">
        <v>135</v>
      </c>
      <c r="G80" s="5" t="s">
        <v>786</v>
      </c>
      <c r="H80" s="26" t="s">
        <v>787</v>
      </c>
      <c r="I80" s="25" t="b">
        <f aca="false">TRUE()</f>
        <v>1</v>
      </c>
      <c r="J80" s="7" t="n">
        <v>927</v>
      </c>
      <c r="K80" s="7" t="n">
        <v>637</v>
      </c>
      <c r="L80" s="7"/>
      <c r="M80" s="7" t="n">
        <v>68</v>
      </c>
      <c r="N80" s="7"/>
      <c r="O80" s="7" t="n">
        <v>110</v>
      </c>
      <c r="P80" s="7" t="n">
        <f aca="false">SUM(K80:O80)</f>
        <v>815</v>
      </c>
    </row>
    <row r="81" customFormat="false" ht="15" hidden="false" customHeight="false" outlineLevel="0" collapsed="false">
      <c r="A81" s="5" t="n">
        <v>77</v>
      </c>
      <c r="B81" s="5" t="s">
        <v>541</v>
      </c>
      <c r="C81" s="5" t="s">
        <v>542</v>
      </c>
      <c r="D81" s="5" t="s">
        <v>543</v>
      </c>
      <c r="E81" s="5" t="s">
        <v>544</v>
      </c>
      <c r="F81" s="5" t="s">
        <v>545</v>
      </c>
      <c r="G81" s="5" t="s">
        <v>786</v>
      </c>
      <c r="H81" s="26" t="s">
        <v>787</v>
      </c>
      <c r="I81" s="25" t="b">
        <f aca="false">TRUE()</f>
        <v>1</v>
      </c>
      <c r="J81" s="7" t="n">
        <v>895</v>
      </c>
      <c r="K81" s="7" t="n">
        <v>462</v>
      </c>
      <c r="L81" s="7"/>
      <c r="M81" s="7" t="n">
        <v>139</v>
      </c>
      <c r="N81" s="7"/>
      <c r="O81" s="7" t="n">
        <v>212</v>
      </c>
      <c r="P81" s="7" t="n">
        <f aca="false">SUM(K81:O81)</f>
        <v>813</v>
      </c>
    </row>
    <row r="82" customFormat="false" ht="15" hidden="false" customHeight="false" outlineLevel="0" collapsed="false">
      <c r="A82" s="5" t="n">
        <v>78</v>
      </c>
      <c r="B82" s="5" t="s">
        <v>553</v>
      </c>
      <c r="C82" s="5" t="s">
        <v>554</v>
      </c>
      <c r="D82" s="5" t="s">
        <v>555</v>
      </c>
      <c r="E82" s="5" t="s">
        <v>60</v>
      </c>
      <c r="F82" s="5" t="s">
        <v>95</v>
      </c>
      <c r="G82" s="5" t="s">
        <v>786</v>
      </c>
      <c r="H82" s="26" t="s">
        <v>787</v>
      </c>
      <c r="I82" s="25" t="b">
        <f aca="false">TRUE()</f>
        <v>1</v>
      </c>
      <c r="J82" s="7" t="n">
        <v>876</v>
      </c>
      <c r="K82" s="7" t="n">
        <v>175</v>
      </c>
      <c r="L82" s="7"/>
      <c r="M82" s="7" t="n">
        <v>436</v>
      </c>
      <c r="N82" s="7"/>
      <c r="O82" s="7"/>
      <c r="P82" s="7" t="n">
        <f aca="false">SUM(K82:O82)</f>
        <v>611</v>
      </c>
    </row>
    <row r="83" customFormat="false" ht="15" hidden="false" customHeight="false" outlineLevel="0" collapsed="false">
      <c r="A83" s="5" t="n">
        <v>79</v>
      </c>
      <c r="B83" s="5" t="s">
        <v>849</v>
      </c>
      <c r="C83" s="5" t="s">
        <v>850</v>
      </c>
      <c r="D83" s="5" t="s">
        <v>851</v>
      </c>
      <c r="E83" s="5" t="s">
        <v>785</v>
      </c>
      <c r="F83" s="5" t="s">
        <v>100</v>
      </c>
      <c r="G83" s="5" t="s">
        <v>97</v>
      </c>
      <c r="H83" s="27" t="s">
        <v>791</v>
      </c>
      <c r="I83" s="25" t="b">
        <f aca="false">FALSE()</f>
        <v>0</v>
      </c>
      <c r="J83" s="7" t="n">
        <v>858</v>
      </c>
      <c r="K83" s="7"/>
      <c r="L83" s="7"/>
      <c r="M83" s="7"/>
      <c r="N83" s="7"/>
      <c r="O83" s="7"/>
      <c r="P83" s="7" t="n">
        <f aca="false">SUM(K83:O83)</f>
        <v>0</v>
      </c>
    </row>
    <row r="84" customFormat="false" ht="15" hidden="false" customHeight="false" outlineLevel="0" collapsed="false">
      <c r="A84" s="5" t="n">
        <v>80</v>
      </c>
      <c r="B84" s="5" t="s">
        <v>563</v>
      </c>
      <c r="C84" s="5" t="s">
        <v>564</v>
      </c>
      <c r="D84" s="5" t="s">
        <v>565</v>
      </c>
      <c r="E84" s="5" t="s">
        <v>815</v>
      </c>
      <c r="F84" s="5" t="s">
        <v>258</v>
      </c>
      <c r="G84" s="5" t="s">
        <v>786</v>
      </c>
      <c r="H84" s="26" t="s">
        <v>787</v>
      </c>
      <c r="I84" s="25" t="b">
        <f aca="false">TRUE()</f>
        <v>1</v>
      </c>
      <c r="J84" s="7" t="n">
        <v>852</v>
      </c>
      <c r="K84" s="7" t="n">
        <v>403</v>
      </c>
      <c r="L84" s="7"/>
      <c r="M84" s="7" t="n">
        <v>25</v>
      </c>
      <c r="N84" s="7"/>
      <c r="O84" s="7"/>
      <c r="P84" s="7" t="n">
        <f aca="false">SUM(K84:O84)</f>
        <v>428</v>
      </c>
    </row>
    <row r="85" customFormat="false" ht="15" hidden="false" customHeight="false" outlineLevel="0" collapsed="false">
      <c r="A85" s="5" t="n">
        <v>81</v>
      </c>
      <c r="B85" s="5" t="s">
        <v>852</v>
      </c>
      <c r="C85" s="5" t="s">
        <v>853</v>
      </c>
      <c r="D85" s="5" t="s">
        <v>853</v>
      </c>
      <c r="E85" s="5" t="s">
        <v>275</v>
      </c>
      <c r="F85" s="5" t="s">
        <v>276</v>
      </c>
      <c r="G85" s="5" t="s">
        <v>165</v>
      </c>
      <c r="H85" s="27" t="s">
        <v>791</v>
      </c>
      <c r="I85" s="25" t="b">
        <f aca="false">FALSE()</f>
        <v>0</v>
      </c>
      <c r="J85" s="7" t="n">
        <v>834</v>
      </c>
      <c r="K85" s="7" t="n">
        <v>4</v>
      </c>
      <c r="L85" s="7"/>
      <c r="M85" s="7" t="n">
        <v>219</v>
      </c>
      <c r="N85" s="7" t="n">
        <v>598</v>
      </c>
      <c r="O85" s="7"/>
      <c r="P85" s="7" t="n">
        <f aca="false">SUM(K85:O85)</f>
        <v>821</v>
      </c>
    </row>
    <row r="86" customFormat="false" ht="15" hidden="false" customHeight="false" outlineLevel="0" collapsed="false">
      <c r="A86" s="5" t="n">
        <v>82</v>
      </c>
      <c r="B86" s="5" t="s">
        <v>854</v>
      </c>
      <c r="C86" s="5" t="s">
        <v>855</v>
      </c>
      <c r="D86" s="5" t="s">
        <v>855</v>
      </c>
      <c r="E86" s="5" t="s">
        <v>813</v>
      </c>
      <c r="F86" s="5" t="s">
        <v>355</v>
      </c>
      <c r="G86" s="5" t="s">
        <v>76</v>
      </c>
      <c r="H86" s="27" t="s">
        <v>791</v>
      </c>
      <c r="I86" s="25" t="b">
        <f aca="false">FALSE()</f>
        <v>0</v>
      </c>
      <c r="J86" s="7" t="n">
        <v>819</v>
      </c>
      <c r="K86" s="7" t="n">
        <v>176</v>
      </c>
      <c r="L86" s="7" t="n">
        <v>547</v>
      </c>
      <c r="M86" s="7" t="n">
        <v>24</v>
      </c>
      <c r="N86" s="7"/>
      <c r="O86" s="7"/>
      <c r="P86" s="7" t="n">
        <f aca="false">SUM(K86:O86)</f>
        <v>747</v>
      </c>
    </row>
    <row r="87" customFormat="false" ht="15" hidden="false" customHeight="false" outlineLevel="0" collapsed="false">
      <c r="A87" s="5" t="n">
        <v>83</v>
      </c>
      <c r="B87" s="5" t="s">
        <v>570</v>
      </c>
      <c r="C87" s="5" t="s">
        <v>571</v>
      </c>
      <c r="D87" s="5" t="s">
        <v>572</v>
      </c>
      <c r="E87" s="5" t="s">
        <v>815</v>
      </c>
      <c r="F87" s="5" t="s">
        <v>258</v>
      </c>
      <c r="G87" s="5" t="s">
        <v>786</v>
      </c>
      <c r="H87" s="26" t="s">
        <v>787</v>
      </c>
      <c r="I87" s="25" t="b">
        <f aca="false">TRUE()</f>
        <v>1</v>
      </c>
      <c r="J87" s="7" t="n">
        <v>789</v>
      </c>
      <c r="K87" s="7" t="n">
        <v>434</v>
      </c>
      <c r="L87" s="7"/>
      <c r="M87" s="7" t="n">
        <v>117</v>
      </c>
      <c r="N87" s="7"/>
      <c r="O87" s="7"/>
      <c r="P87" s="7" t="n">
        <f aca="false">SUM(K87:O87)</f>
        <v>551</v>
      </c>
    </row>
    <row r="88" customFormat="false" ht="15" hidden="false" customHeight="false" outlineLevel="0" collapsed="false">
      <c r="A88" s="5" t="n">
        <v>84</v>
      </c>
      <c r="B88" s="5" t="s">
        <v>856</v>
      </c>
      <c r="C88" s="5" t="s">
        <v>857</v>
      </c>
      <c r="D88" s="5" t="s">
        <v>858</v>
      </c>
      <c r="E88" s="5" t="s">
        <v>788</v>
      </c>
      <c r="F88" s="5" t="s">
        <v>119</v>
      </c>
      <c r="G88" s="5" t="s">
        <v>117</v>
      </c>
      <c r="H88" s="27" t="s">
        <v>791</v>
      </c>
      <c r="I88" s="25" t="b">
        <f aca="false">FALSE()</f>
        <v>0</v>
      </c>
      <c r="J88" s="7" t="n">
        <v>776</v>
      </c>
      <c r="K88" s="7" t="n">
        <v>533</v>
      </c>
      <c r="L88" s="7"/>
      <c r="M88" s="7" t="n">
        <v>51</v>
      </c>
      <c r="N88" s="7"/>
      <c r="O88" s="7"/>
      <c r="P88" s="7" t="n">
        <f aca="false">SUM(K88:O88)</f>
        <v>584</v>
      </c>
    </row>
    <row r="89" customFormat="false" ht="15" hidden="false" customHeight="false" outlineLevel="0" collapsed="false">
      <c r="A89" s="5" t="n">
        <v>85</v>
      </c>
      <c r="B89" s="5" t="s">
        <v>577</v>
      </c>
      <c r="C89" s="5" t="s">
        <v>578</v>
      </c>
      <c r="D89" s="5" t="s">
        <v>579</v>
      </c>
      <c r="E89" s="5" t="s">
        <v>60</v>
      </c>
      <c r="F89" s="5" t="s">
        <v>95</v>
      </c>
      <c r="G89" s="5" t="s">
        <v>786</v>
      </c>
      <c r="H89" s="26" t="s">
        <v>787</v>
      </c>
      <c r="I89" s="25" t="b">
        <f aca="false">TRUE()</f>
        <v>1</v>
      </c>
      <c r="J89" s="7" t="n">
        <v>773</v>
      </c>
      <c r="K89" s="7" t="n">
        <v>320</v>
      </c>
      <c r="L89" s="7"/>
      <c r="M89" s="7" t="n">
        <v>342</v>
      </c>
      <c r="N89" s="7"/>
      <c r="O89" s="7"/>
      <c r="P89" s="7" t="n">
        <f aca="false">SUM(K89:O89)</f>
        <v>662</v>
      </c>
    </row>
    <row r="90" customFormat="false" ht="15" hidden="false" customHeight="false" outlineLevel="0" collapsed="false">
      <c r="A90" s="5" t="n">
        <v>86</v>
      </c>
      <c r="B90" s="5" t="s">
        <v>859</v>
      </c>
      <c r="C90" s="5" t="s">
        <v>860</v>
      </c>
      <c r="D90" s="5" t="s">
        <v>861</v>
      </c>
      <c r="E90" s="5" t="s">
        <v>813</v>
      </c>
      <c r="F90" s="5" t="s">
        <v>355</v>
      </c>
      <c r="G90" s="5" t="s">
        <v>64</v>
      </c>
      <c r="H90" s="27" t="s">
        <v>791</v>
      </c>
      <c r="I90" s="25" t="b">
        <f aca="false">FALSE()</f>
        <v>0</v>
      </c>
      <c r="J90" s="7" t="n">
        <v>746</v>
      </c>
      <c r="K90" s="7"/>
      <c r="L90" s="7" t="n">
        <v>129</v>
      </c>
      <c r="M90" s="7" t="n">
        <v>223</v>
      </c>
      <c r="N90" s="7"/>
      <c r="O90" s="7"/>
      <c r="P90" s="7" t="n">
        <f aca="false">SUM(K90:O90)</f>
        <v>352</v>
      </c>
    </row>
    <row r="91" customFormat="false" ht="15" hidden="false" customHeight="false" outlineLevel="0" collapsed="false">
      <c r="A91" s="5" t="n">
        <v>87</v>
      </c>
      <c r="B91" s="5" t="s">
        <v>862</v>
      </c>
      <c r="C91" s="5" t="s">
        <v>863</v>
      </c>
      <c r="D91" s="5" t="s">
        <v>864</v>
      </c>
      <c r="E91" s="5" t="s">
        <v>788</v>
      </c>
      <c r="F91" s="5" t="s">
        <v>119</v>
      </c>
      <c r="G91" s="5" t="s">
        <v>117</v>
      </c>
      <c r="H91" s="27" t="s">
        <v>791</v>
      </c>
      <c r="I91" s="25" t="b">
        <f aca="false">FALSE()</f>
        <v>0</v>
      </c>
      <c r="J91" s="7" t="n">
        <v>713</v>
      </c>
      <c r="K91" s="7"/>
      <c r="L91" s="7"/>
      <c r="M91" s="7" t="n">
        <v>28</v>
      </c>
      <c r="N91" s="7"/>
      <c r="O91" s="7"/>
      <c r="P91" s="7" t="n">
        <f aca="false">SUM(K91:O91)</f>
        <v>28</v>
      </c>
    </row>
    <row r="92" customFormat="false" ht="15" hidden="false" customHeight="false" outlineLevel="0" collapsed="false">
      <c r="A92" s="5" t="n">
        <v>88</v>
      </c>
      <c r="B92" s="5" t="s">
        <v>619</v>
      </c>
      <c r="C92" s="5" t="s">
        <v>620</v>
      </c>
      <c r="D92" s="5" t="s">
        <v>621</v>
      </c>
      <c r="E92" s="5" t="s">
        <v>60</v>
      </c>
      <c r="F92" s="5" t="s">
        <v>622</v>
      </c>
      <c r="G92" s="5" t="s">
        <v>786</v>
      </c>
      <c r="H92" s="26" t="s">
        <v>787</v>
      </c>
      <c r="I92" s="25" t="b">
        <f aca="false">TRUE()</f>
        <v>1</v>
      </c>
      <c r="J92" s="7" t="n">
        <v>624</v>
      </c>
      <c r="K92" s="7" t="n">
        <v>182</v>
      </c>
      <c r="L92" s="7"/>
      <c r="M92" s="7" t="n">
        <v>119</v>
      </c>
      <c r="N92" s="7"/>
      <c r="O92" s="7"/>
      <c r="P92" s="7" t="n">
        <f aca="false">SUM(K92:O92)</f>
        <v>301</v>
      </c>
    </row>
    <row r="93" customFormat="false" ht="15" hidden="false" customHeight="false" outlineLevel="0" collapsed="false">
      <c r="A93" s="5" t="n">
        <v>89</v>
      </c>
      <c r="B93" s="5" t="s">
        <v>627</v>
      </c>
      <c r="C93" s="5" t="s">
        <v>628</v>
      </c>
      <c r="D93" s="5" t="s">
        <v>628</v>
      </c>
      <c r="E93" s="5" t="s">
        <v>169</v>
      </c>
      <c r="F93" s="5" t="s">
        <v>233</v>
      </c>
      <c r="G93" s="5" t="s">
        <v>786</v>
      </c>
      <c r="H93" s="26" t="s">
        <v>787</v>
      </c>
      <c r="I93" s="25" t="b">
        <f aca="false">TRUE()</f>
        <v>1</v>
      </c>
      <c r="J93" s="7" t="n">
        <v>602</v>
      </c>
      <c r="K93" s="7"/>
      <c r="L93" s="7"/>
      <c r="M93" s="7" t="n">
        <v>122</v>
      </c>
      <c r="N93" s="7"/>
      <c r="O93" s="7"/>
      <c r="P93" s="7" t="n">
        <f aca="false">SUM(K93:O93)</f>
        <v>122</v>
      </c>
    </row>
    <row r="94" customFormat="false" ht="15" hidden="false" customHeight="false" outlineLevel="0" collapsed="false">
      <c r="A94" s="5" t="n">
        <v>90</v>
      </c>
      <c r="B94" s="5" t="s">
        <v>865</v>
      </c>
      <c r="C94" s="5" t="s">
        <v>866</v>
      </c>
      <c r="D94" s="5" t="s">
        <v>867</v>
      </c>
      <c r="E94" s="5" t="s">
        <v>785</v>
      </c>
      <c r="F94" s="5" t="s">
        <v>100</v>
      </c>
      <c r="G94" s="5" t="s">
        <v>97</v>
      </c>
      <c r="H94" s="27" t="s">
        <v>791</v>
      </c>
      <c r="I94" s="25" t="b">
        <f aca="false">FALSE()</f>
        <v>0</v>
      </c>
      <c r="J94" s="7" t="n">
        <v>592</v>
      </c>
      <c r="K94" s="7" t="n">
        <v>150</v>
      </c>
      <c r="L94" s="7"/>
      <c r="M94" s="7" t="n">
        <v>82</v>
      </c>
      <c r="N94" s="7" t="n">
        <v>13</v>
      </c>
      <c r="O94" s="7"/>
      <c r="P94" s="7" t="n">
        <f aca="false">SUM(K94:O94)</f>
        <v>245</v>
      </c>
    </row>
    <row r="95" customFormat="false" ht="15" hidden="false" customHeight="false" outlineLevel="0" collapsed="false">
      <c r="A95" s="5" t="n">
        <v>91</v>
      </c>
      <c r="B95" s="5" t="s">
        <v>868</v>
      </c>
      <c r="C95" s="5" t="s">
        <v>869</v>
      </c>
      <c r="D95" s="5" t="s">
        <v>870</v>
      </c>
      <c r="E95" s="5" t="s">
        <v>815</v>
      </c>
      <c r="F95" s="5" t="s">
        <v>258</v>
      </c>
      <c r="G95" s="5" t="s">
        <v>64</v>
      </c>
      <c r="H95" s="27" t="s">
        <v>791</v>
      </c>
      <c r="I95" s="25" t="b">
        <f aca="false">FALSE()</f>
        <v>0</v>
      </c>
      <c r="J95" s="7" t="n">
        <v>565</v>
      </c>
      <c r="K95" s="7"/>
      <c r="L95" s="7"/>
      <c r="M95" s="7" t="n">
        <v>368</v>
      </c>
      <c r="N95" s="7"/>
      <c r="O95" s="7"/>
      <c r="P95" s="7" t="n">
        <f aca="false">SUM(K95:O95)</f>
        <v>368</v>
      </c>
    </row>
    <row r="96" customFormat="false" ht="15" hidden="false" customHeight="false" outlineLevel="0" collapsed="false">
      <c r="A96" s="5" t="n">
        <v>92</v>
      </c>
      <c r="B96" s="5" t="s">
        <v>871</v>
      </c>
      <c r="C96" s="5" t="s">
        <v>872</v>
      </c>
      <c r="D96" s="5" t="s">
        <v>873</v>
      </c>
      <c r="E96" s="5" t="s">
        <v>813</v>
      </c>
      <c r="F96" s="5" t="s">
        <v>355</v>
      </c>
      <c r="G96" s="5" t="s">
        <v>64</v>
      </c>
      <c r="H96" s="27" t="s">
        <v>791</v>
      </c>
      <c r="I96" s="25" t="b">
        <f aca="false">FALSE()</f>
        <v>0</v>
      </c>
      <c r="J96" s="7" t="n">
        <v>553</v>
      </c>
      <c r="K96" s="7"/>
      <c r="L96" s="7"/>
      <c r="M96" s="7" t="n">
        <v>283</v>
      </c>
      <c r="N96" s="7" t="n">
        <v>116</v>
      </c>
      <c r="O96" s="7"/>
      <c r="P96" s="7" t="n">
        <f aca="false">SUM(K96:O96)</f>
        <v>399</v>
      </c>
    </row>
    <row r="97" customFormat="false" ht="15" hidden="false" customHeight="false" outlineLevel="0" collapsed="false">
      <c r="A97" s="5" t="n">
        <v>93</v>
      </c>
      <c r="B97" s="5" t="s">
        <v>643</v>
      </c>
      <c r="C97" s="5" t="s">
        <v>644</v>
      </c>
      <c r="D97" s="5" t="s">
        <v>645</v>
      </c>
      <c r="E97" s="5" t="s">
        <v>60</v>
      </c>
      <c r="F97" s="5" t="s">
        <v>95</v>
      </c>
      <c r="G97" s="5" t="s">
        <v>786</v>
      </c>
      <c r="H97" s="26" t="s">
        <v>787</v>
      </c>
      <c r="I97" s="25" t="b">
        <f aca="false">TRUE()</f>
        <v>1</v>
      </c>
      <c r="J97" s="7" t="n">
        <v>543</v>
      </c>
      <c r="K97" s="7"/>
      <c r="L97" s="7"/>
      <c r="M97" s="7" t="n">
        <v>11</v>
      </c>
      <c r="N97" s="7"/>
      <c r="O97" s="7" t="n">
        <v>335</v>
      </c>
      <c r="P97" s="7" t="n">
        <f aca="false">SUM(K97:O97)</f>
        <v>346</v>
      </c>
    </row>
    <row r="98" customFormat="false" ht="15" hidden="false" customHeight="false" outlineLevel="0" collapsed="false">
      <c r="A98" s="5" t="n">
        <v>94</v>
      </c>
      <c r="B98" s="5" t="s">
        <v>647</v>
      </c>
      <c r="C98" s="5" t="s">
        <v>648</v>
      </c>
      <c r="D98" s="5" t="s">
        <v>649</v>
      </c>
      <c r="E98" s="5" t="s">
        <v>809</v>
      </c>
      <c r="F98" s="5" t="s">
        <v>206</v>
      </c>
      <c r="G98" s="5" t="s">
        <v>786</v>
      </c>
      <c r="H98" s="26" t="s">
        <v>787</v>
      </c>
      <c r="I98" s="25" t="b">
        <f aca="false">TRUE()</f>
        <v>1</v>
      </c>
      <c r="J98" s="7" t="n">
        <v>535</v>
      </c>
      <c r="K98" s="7" t="n">
        <v>160</v>
      </c>
      <c r="L98" s="7"/>
      <c r="M98" s="7" t="n">
        <v>100</v>
      </c>
      <c r="N98" s="7"/>
      <c r="O98" s="7"/>
      <c r="P98" s="7" t="n">
        <f aca="false">SUM(K98:O98)</f>
        <v>260</v>
      </c>
    </row>
    <row r="99" customFormat="false" ht="15" hidden="false" customHeight="false" outlineLevel="0" collapsed="false">
      <c r="A99" s="5" t="n">
        <v>95</v>
      </c>
      <c r="B99" s="5" t="s">
        <v>874</v>
      </c>
      <c r="C99" s="5" t="s">
        <v>875</v>
      </c>
      <c r="D99" s="5" t="s">
        <v>875</v>
      </c>
      <c r="E99" s="5" t="s">
        <v>169</v>
      </c>
      <c r="F99" s="5" t="s">
        <v>233</v>
      </c>
      <c r="G99" s="5" t="s">
        <v>231</v>
      </c>
      <c r="H99" s="27" t="s">
        <v>791</v>
      </c>
      <c r="I99" s="25" t="b">
        <f aca="false">FALSE()</f>
        <v>0</v>
      </c>
      <c r="J99" s="7" t="n">
        <v>531</v>
      </c>
      <c r="K99" s="7"/>
      <c r="L99" s="7"/>
      <c r="M99" s="7"/>
      <c r="N99" s="7"/>
      <c r="O99" s="7"/>
      <c r="P99" s="7" t="n">
        <f aca="false">SUM(K99:O99)</f>
        <v>0</v>
      </c>
    </row>
    <row r="100" customFormat="false" ht="15" hidden="false" customHeight="false" outlineLevel="0" collapsed="false">
      <c r="A100" s="5" t="n">
        <v>96</v>
      </c>
      <c r="B100" s="5" t="s">
        <v>876</v>
      </c>
      <c r="C100" s="5" t="s">
        <v>877</v>
      </c>
      <c r="D100" s="5" t="s">
        <v>878</v>
      </c>
      <c r="E100" s="5" t="s">
        <v>393</v>
      </c>
      <c r="F100" s="5" t="s">
        <v>394</v>
      </c>
      <c r="G100" s="5" t="s">
        <v>150</v>
      </c>
      <c r="H100" s="27" t="s">
        <v>791</v>
      </c>
      <c r="I100" s="25" t="b">
        <f aca="false">FALSE()</f>
        <v>0</v>
      </c>
      <c r="J100" s="7" t="n">
        <v>513</v>
      </c>
      <c r="K100" s="7" t="n">
        <v>216</v>
      </c>
      <c r="L100" s="7"/>
      <c r="M100" s="7" t="n">
        <v>166</v>
      </c>
      <c r="N100" s="7"/>
      <c r="O100" s="7"/>
      <c r="P100" s="7" t="n">
        <f aca="false">SUM(K100:O100)</f>
        <v>382</v>
      </c>
    </row>
    <row r="101" customFormat="false" ht="15" hidden="false" customHeight="false" outlineLevel="0" collapsed="false">
      <c r="A101" s="5" t="n">
        <v>97</v>
      </c>
      <c r="B101" s="5" t="s">
        <v>879</v>
      </c>
      <c r="C101" s="5" t="s">
        <v>880</v>
      </c>
      <c r="D101" s="5" t="s">
        <v>881</v>
      </c>
      <c r="E101" s="5" t="s">
        <v>813</v>
      </c>
      <c r="F101" s="5" t="s">
        <v>355</v>
      </c>
      <c r="G101" s="5" t="s">
        <v>353</v>
      </c>
      <c r="H101" s="27" t="s">
        <v>791</v>
      </c>
      <c r="I101" s="25" t="b">
        <f aca="false">FALSE()</f>
        <v>0</v>
      </c>
      <c r="J101" s="7" t="n">
        <v>496</v>
      </c>
      <c r="K101" s="7"/>
      <c r="L101" s="7"/>
      <c r="M101" s="7"/>
      <c r="N101" s="7"/>
      <c r="O101" s="7"/>
      <c r="P101" s="7" t="n">
        <f aca="false">SUM(K101:O101)</f>
        <v>0</v>
      </c>
    </row>
    <row r="102" customFormat="false" ht="15" hidden="false" customHeight="false" outlineLevel="0" collapsed="false">
      <c r="A102" s="5" t="n">
        <v>98</v>
      </c>
      <c r="B102" s="5" t="s">
        <v>882</v>
      </c>
      <c r="C102" s="5" t="s">
        <v>883</v>
      </c>
      <c r="D102" s="5" t="s">
        <v>884</v>
      </c>
      <c r="E102" s="5" t="s">
        <v>788</v>
      </c>
      <c r="F102" s="5" t="s">
        <v>119</v>
      </c>
      <c r="G102" s="5" t="s">
        <v>117</v>
      </c>
      <c r="H102" s="27" t="s">
        <v>791</v>
      </c>
      <c r="I102" s="25" t="b">
        <f aca="false">FALSE()</f>
        <v>0</v>
      </c>
      <c r="J102" s="7" t="n">
        <v>470</v>
      </c>
      <c r="K102" s="7" t="n">
        <v>150</v>
      </c>
      <c r="L102" s="7"/>
      <c r="M102" s="7" t="n">
        <v>154</v>
      </c>
      <c r="N102" s="7" t="n">
        <v>71</v>
      </c>
      <c r="O102" s="7"/>
      <c r="P102" s="7" t="n">
        <f aca="false">SUM(K102:O102)</f>
        <v>375</v>
      </c>
    </row>
    <row r="103" customFormat="false" ht="15" hidden="false" customHeight="false" outlineLevel="0" collapsed="false">
      <c r="A103" s="5" t="n">
        <v>99</v>
      </c>
      <c r="B103" s="5" t="s">
        <v>885</v>
      </c>
      <c r="C103" s="5" t="s">
        <v>886</v>
      </c>
      <c r="D103" s="5" t="s">
        <v>887</v>
      </c>
      <c r="E103" s="5" t="s">
        <v>784</v>
      </c>
      <c r="F103" s="5" t="s">
        <v>78</v>
      </c>
      <c r="G103" s="5" t="s">
        <v>76</v>
      </c>
      <c r="H103" s="27" t="s">
        <v>791</v>
      </c>
      <c r="I103" s="25" t="b">
        <f aca="false">FALSE()</f>
        <v>0</v>
      </c>
      <c r="J103" s="7" t="n">
        <v>470</v>
      </c>
      <c r="K103" s="7"/>
      <c r="L103" s="7"/>
      <c r="M103" s="7"/>
      <c r="N103" s="7"/>
      <c r="O103" s="7"/>
      <c r="P103" s="7" t="n">
        <f aca="false">SUM(K103:O103)</f>
        <v>0</v>
      </c>
    </row>
    <row r="104" customFormat="false" ht="15" hidden="false" customHeight="false" outlineLevel="0" collapsed="false">
      <c r="A104" s="5" t="n">
        <v>100</v>
      </c>
      <c r="B104" s="5" t="s">
        <v>677</v>
      </c>
      <c r="C104" s="5" t="s">
        <v>678</v>
      </c>
      <c r="D104" s="5" t="s">
        <v>678</v>
      </c>
      <c r="E104" s="5" t="s">
        <v>89</v>
      </c>
      <c r="F104" s="5" t="s">
        <v>90</v>
      </c>
      <c r="G104" s="5" t="s">
        <v>786</v>
      </c>
      <c r="H104" s="26" t="s">
        <v>787</v>
      </c>
      <c r="I104" s="25" t="b">
        <f aca="false">TRUE()</f>
        <v>1</v>
      </c>
      <c r="J104" s="7" t="n">
        <v>468</v>
      </c>
      <c r="K104" s="7"/>
      <c r="L104" s="7"/>
      <c r="M104" s="7" t="n">
        <v>69</v>
      </c>
      <c r="N104" s="7"/>
      <c r="O104" s="7"/>
      <c r="P104" s="7" t="n">
        <f aca="false">SUM(K104:O104)</f>
        <v>69</v>
      </c>
    </row>
    <row r="105" customFormat="false" ht="15" hidden="false" customHeight="false" outlineLevel="0" collapsed="false">
      <c r="A105" s="11" t="s">
        <v>888</v>
      </c>
      <c r="J105" s="12" t="n">
        <f aca="false">SUM(J5:J104)</f>
        <v>518060</v>
      </c>
    </row>
    <row r="106" customFormat="false" ht="15" hidden="false" customHeight="false" outlineLevel="0" collapsed="false">
      <c r="A106" s="3" t="s">
        <v>889</v>
      </c>
      <c r="J106" s="22" t="n">
        <f aca="false">-SUMIF($I$5:$I$104,FALSE(),$J$5:$J$104)</f>
        <v>-92225</v>
      </c>
    </row>
    <row r="107" customFormat="false" ht="15" hidden="false" customHeight="false" outlineLevel="0" collapsed="false">
      <c r="A107" s="11" t="s">
        <v>890</v>
      </c>
      <c r="J107" s="12" t="n">
        <f aca="false">J105+J106</f>
        <v>425835</v>
      </c>
    </row>
    <row r="108" customFormat="false" ht="15" hidden="false" customHeight="false" outlineLevel="0" collapsed="false">
      <c r="A108" s="3" t="s">
        <v>891</v>
      </c>
      <c r="J108" s="24" t="n">
        <f aca="false">J107/'By ownership'!$B$10</f>
        <v>0.160686389192861</v>
      </c>
    </row>
    <row r="109" customFormat="false" ht="15" hidden="false" customHeight="false" outlineLevel="0" collapsed="false">
      <c r="A109" s="21" t="s">
        <v>892</v>
      </c>
    </row>
  </sheetData>
  <autoFilter ref="A4:P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3" t="s">
        <v>893</v>
      </c>
    </row>
    <row r="4" customFormat="false" ht="31.5" hidden="false" customHeight="true" outlineLevel="0" collapsed="false">
      <c r="A4" s="4" t="s">
        <v>777</v>
      </c>
      <c r="B4" s="4" t="s">
        <v>894</v>
      </c>
      <c r="C4" s="4" t="s">
        <v>895</v>
      </c>
      <c r="D4" s="4" t="s">
        <v>896</v>
      </c>
      <c r="E4" s="4" t="s">
        <v>897</v>
      </c>
    </row>
    <row r="5" customFormat="false" ht="15" hidden="false" customHeight="false" outlineLevel="0" collapsed="false">
      <c r="A5" s="5" t="s">
        <v>64</v>
      </c>
      <c r="B5" s="5" t="n">
        <v>11</v>
      </c>
      <c r="C5" s="7" t="n">
        <v>90991</v>
      </c>
      <c r="D5" s="7" t="n">
        <v>54021</v>
      </c>
      <c r="E5" s="8" t="n">
        <f aca="false">C5/'STATE 100 firms'!$J$107</f>
        <v>0.21367665879977</v>
      </c>
    </row>
    <row r="6" customFormat="false" ht="15" hidden="false" customHeight="false" outlineLevel="0" collapsed="false">
      <c r="A6" s="5" t="s">
        <v>71</v>
      </c>
      <c r="B6" s="5" t="n">
        <v>4</v>
      </c>
      <c r="C6" s="7" t="n">
        <v>42290</v>
      </c>
      <c r="D6" s="7" t="n">
        <v>12696</v>
      </c>
      <c r="E6" s="8" t="n">
        <f aca="false">C6/'STATE 100 firms'!$J$107</f>
        <v>0.0993107659069828</v>
      </c>
    </row>
    <row r="7" customFormat="false" ht="15" hidden="false" customHeight="false" outlineLevel="0" collapsed="false">
      <c r="A7" s="5" t="s">
        <v>76</v>
      </c>
      <c r="B7" s="5" t="n">
        <v>3</v>
      </c>
      <c r="C7" s="7" t="n">
        <v>30575</v>
      </c>
      <c r="D7" s="7" t="n">
        <v>1289</v>
      </c>
      <c r="E7" s="8" t="n">
        <f aca="false">C7/'STATE 100 firms'!$J$107</f>
        <v>0.071800110371388</v>
      </c>
    </row>
    <row r="8" customFormat="false" ht="15" hidden="false" customHeight="false" outlineLevel="0" collapsed="false">
      <c r="A8" s="5" t="s">
        <v>97</v>
      </c>
      <c r="B8" s="5" t="n">
        <v>4</v>
      </c>
      <c r="C8" s="7" t="n">
        <v>24031</v>
      </c>
      <c r="D8" s="7" t="n">
        <v>3418</v>
      </c>
      <c r="E8" s="8" t="n">
        <f aca="false">C8/'STATE 100 firms'!$J$107</f>
        <v>0.0564326558408773</v>
      </c>
    </row>
    <row r="9" customFormat="false" ht="15" hidden="false" customHeight="false" outlineLevel="0" collapsed="false">
      <c r="A9" s="5" t="s">
        <v>117</v>
      </c>
      <c r="B9" s="5" t="n">
        <v>8</v>
      </c>
      <c r="C9" s="7" t="n">
        <v>20891</v>
      </c>
      <c r="D9" s="7" t="n">
        <v>11305</v>
      </c>
      <c r="E9" s="8" t="n">
        <f aca="false">C9/'STATE 100 firms'!$J$107</f>
        <v>0.0490589077929245</v>
      </c>
    </row>
    <row r="10" customFormat="false" ht="15" hidden="false" customHeight="false" outlineLevel="0" collapsed="false">
      <c r="A10" s="5" t="s">
        <v>150</v>
      </c>
      <c r="B10" s="5" t="n">
        <v>2</v>
      </c>
      <c r="C10" s="7" t="n">
        <v>11374</v>
      </c>
      <c r="D10" s="7" t="n">
        <v>513</v>
      </c>
      <c r="E10" s="8" t="n">
        <f aca="false">C10/'STATE 100 firms'!$J$107</f>
        <v>0.0267098758908967</v>
      </c>
    </row>
    <row r="11" customFormat="false" ht="15" hidden="false" customHeight="false" outlineLevel="0" collapsed="false">
      <c r="A11" s="5" t="s">
        <v>165</v>
      </c>
      <c r="B11" s="5" t="n">
        <v>2</v>
      </c>
      <c r="C11" s="7" t="n">
        <v>10004</v>
      </c>
      <c r="D11" s="7" t="n">
        <v>834</v>
      </c>
      <c r="E11" s="8" t="n">
        <f aca="false">C11/'STATE 100 firms'!$J$107</f>
        <v>0.0234926673476816</v>
      </c>
    </row>
    <row r="12" customFormat="false" ht="15" hidden="false" customHeight="false" outlineLevel="0" collapsed="false">
      <c r="A12" s="5" t="s">
        <v>178</v>
      </c>
      <c r="B12" s="5" t="n">
        <v>2</v>
      </c>
      <c r="C12" s="7" t="n">
        <v>6794</v>
      </c>
      <c r="D12" s="7" t="n">
        <v>6176</v>
      </c>
      <c r="E12" s="8" t="n">
        <f aca="false">C12/'STATE 100 firms'!$J$107</f>
        <v>0.0159545363814623</v>
      </c>
    </row>
    <row r="13" customFormat="false" ht="15" hidden="false" customHeight="false" outlineLevel="0" collapsed="false">
      <c r="A13" s="5" t="s">
        <v>231</v>
      </c>
      <c r="B13" s="5" t="n">
        <v>2</v>
      </c>
      <c r="C13" s="7" t="n">
        <v>3283</v>
      </c>
      <c r="D13" s="7" t="n">
        <v>531</v>
      </c>
      <c r="E13" s="8" t="n">
        <f aca="false">C13/'STATE 100 firms'!$J$107</f>
        <v>0.0077095588666972</v>
      </c>
    </row>
    <row r="14" customFormat="false" ht="15" hidden="false" customHeight="false" outlineLevel="0" collapsed="false">
      <c r="A14" s="5" t="s">
        <v>353</v>
      </c>
      <c r="B14" s="5" t="n">
        <v>2</v>
      </c>
      <c r="C14" s="7" t="n">
        <v>2268</v>
      </c>
      <c r="D14" s="7" t="n">
        <v>496</v>
      </c>
      <c r="E14" s="8" t="n">
        <f aca="false">C14/'STATE 100 firms'!$J$107</f>
        <v>0.00532600655183346</v>
      </c>
    </row>
    <row r="15" customFormat="false" ht="15" hidden="false" customHeight="false" outlineLevel="0" collapsed="false">
      <c r="A15" s="5" t="s">
        <v>822</v>
      </c>
      <c r="B15" s="5" t="n">
        <v>2</v>
      </c>
      <c r="C15" s="7" t="n">
        <v>1817</v>
      </c>
      <c r="D15" s="7" t="n">
        <v>946</v>
      </c>
      <c r="E15" s="8" t="n">
        <f aca="false">C15/'STATE 100 firms'!$J$107</f>
        <v>0.00426691089271666</v>
      </c>
    </row>
    <row r="16" customFormat="false" ht="15" hidden="false" customHeight="false" outlineLevel="0" collapsed="false">
      <c r="A16" s="11" t="s">
        <v>898</v>
      </c>
      <c r="B16" s="12" t="n">
        <f aca="false">SUM(B5:B15)</f>
        <v>42</v>
      </c>
      <c r="C16" s="12" t="n">
        <f aca="false">SUM(C5:C15)</f>
        <v>244318</v>
      </c>
      <c r="D16" s="12" t="n">
        <f aca="false">SUM(D5:D15)</f>
        <v>92225</v>
      </c>
    </row>
    <row r="17" customFormat="false" ht="15" hidden="false" customHeight="false" outlineLevel="0" collapsed="false">
      <c r="A17" s="3" t="s">
        <v>899</v>
      </c>
      <c r="B17" s="3" t="n">
        <v>58</v>
      </c>
      <c r="C17" s="22" t="n">
        <v>181517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3" t="s">
        <v>900</v>
      </c>
    </row>
    <row r="2" customFormat="false" ht="15" hidden="false" customHeight="false" outlineLevel="0" collapsed="false">
      <c r="A2" s="21" t="s">
        <v>901</v>
      </c>
    </row>
    <row r="4" customFormat="false" ht="31.5" hidden="false" customHeight="true" outlineLevel="0" collapsed="false">
      <c r="A4" s="4" t="s">
        <v>45</v>
      </c>
      <c r="B4" s="4" t="s">
        <v>902</v>
      </c>
      <c r="C4" s="4" t="s">
        <v>903</v>
      </c>
      <c r="D4" s="4" t="s">
        <v>904</v>
      </c>
      <c r="E4" s="4" t="s">
        <v>905</v>
      </c>
      <c r="F4" s="4" t="s">
        <v>906</v>
      </c>
      <c r="G4" s="4" t="s">
        <v>907</v>
      </c>
      <c r="H4" s="4" t="s">
        <v>908</v>
      </c>
    </row>
    <row r="5" customFormat="false" ht="15" hidden="false" customHeight="false" outlineLevel="0" collapsed="false">
      <c r="A5" s="28" t="s">
        <v>757</v>
      </c>
      <c r="B5" s="5" t="n">
        <v>75</v>
      </c>
      <c r="C5" s="7" t="n">
        <v>433090</v>
      </c>
      <c r="D5" s="8" t="n">
        <f aca="false">C5/$C$8</f>
        <v>0.543521639713763</v>
      </c>
      <c r="E5" s="5" t="n">
        <v>74</v>
      </c>
      <c r="F5" s="7" t="n">
        <v>445558</v>
      </c>
      <c r="G5" s="8" t="n">
        <f aca="false">F5/$F$8</f>
        <v>0.450397976657158</v>
      </c>
      <c r="H5" s="8" t="n">
        <f aca="false">F5/C5-1</f>
        <v>0.0287884735274424</v>
      </c>
    </row>
    <row r="6" customFormat="false" ht="15" hidden="false" customHeight="false" outlineLevel="0" collapsed="false">
      <c r="A6" s="29" t="s">
        <v>758</v>
      </c>
      <c r="B6" s="5" t="n">
        <v>101</v>
      </c>
      <c r="C6" s="7" t="n">
        <v>248990</v>
      </c>
      <c r="D6" s="8" t="n">
        <f aca="false">C6/$C$8</f>
        <v>0.312478822120875</v>
      </c>
      <c r="E6" s="5" t="n">
        <v>99</v>
      </c>
      <c r="F6" s="7" t="n">
        <v>390311</v>
      </c>
      <c r="G6" s="8" t="n">
        <f aca="false">F6/$F$8</f>
        <v>0.394550843362776</v>
      </c>
      <c r="H6" s="8" t="n">
        <f aca="false">F6/C6-1</f>
        <v>0.567577011124945</v>
      </c>
    </row>
    <row r="7" customFormat="false" ht="15" hidden="false" customHeight="false" outlineLevel="0" collapsed="false">
      <c r="A7" s="30" t="s">
        <v>759</v>
      </c>
      <c r="B7" s="5" t="n">
        <v>24</v>
      </c>
      <c r="C7" s="7" t="n">
        <v>114742</v>
      </c>
      <c r="D7" s="8" t="n">
        <f aca="false">C7/$C$8</f>
        <v>0.143999538165362</v>
      </c>
      <c r="E7" s="5" t="n">
        <v>27</v>
      </c>
      <c r="F7" s="7" t="n">
        <v>153385</v>
      </c>
      <c r="G7" s="8" t="n">
        <f aca="false">F7/$F$8</f>
        <v>0.155051179980066</v>
      </c>
      <c r="H7" s="8" t="n">
        <f aca="false">F7/C7-1</f>
        <v>0.336781649265308</v>
      </c>
    </row>
    <row r="8" customFormat="false" ht="15" hidden="false" customHeight="false" outlineLevel="0" collapsed="false">
      <c r="A8" s="11" t="s">
        <v>752</v>
      </c>
      <c r="B8" s="11" t="n">
        <f aca="false">SUM(B5:B7)</f>
        <v>200</v>
      </c>
      <c r="C8" s="12" t="n">
        <f aca="false">SUM(C5:C7)</f>
        <v>796822</v>
      </c>
      <c r="D8" s="24" t="n">
        <f aca="false">C8/$C$8</f>
        <v>1</v>
      </c>
      <c r="E8" s="11" t="n">
        <f aca="false">SUM(E5:E7)</f>
        <v>200</v>
      </c>
      <c r="F8" s="12" t="n">
        <f aca="false">SUM(F5:F7)</f>
        <v>989254</v>
      </c>
      <c r="G8" s="24" t="n">
        <f aca="false">F8/$F$8</f>
        <v>1</v>
      </c>
      <c r="H8" s="24" t="n">
        <f aca="false">F8/C8-1</f>
        <v>0.241499356192475</v>
      </c>
    </row>
    <row r="10" customFormat="false" ht="15" hidden="false" customHeight="false" outlineLevel="0" collapsed="false">
      <c r="A10" s="19" t="s">
        <v>909</v>
      </c>
    </row>
    <row r="11" customFormat="false" ht="15" hidden="false" customHeight="false" outlineLevel="0" collapsed="false">
      <c r="A11" s="19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2026-09-04T03:24:56Z</dcterms:created>
  <dc:creator>openpyxl</dc:creator>
  <dc:description/>
  <dc:language>en-US</dc:language>
  <cp:lastModifiedBy/>
  <dcterms:modified xsi:type="dcterms:W3CDTF">2026-09-04T03:25:00Z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